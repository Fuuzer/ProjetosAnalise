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BP" sheetId="2" state="visible" r:id="rId4"/>
    <sheet name="DSP" sheetId="3" state="visible" r:id="rId5"/>
    <sheet name="Gerencial" sheetId="4" state="visible" r:id="rId6"/>
    <sheet name="Dados" sheetId="5" state="visible" r:id="rId7"/>
    <sheet name="DMPL" sheetId="6" state="visible" r:id="rId8"/>
    <sheet name="RWA" sheetId="7" state="visible" r:id="rId9"/>
    <sheet name="Indicadores" sheetId="8" state="visible" r:id="rId10"/>
    <sheet name="Ex01" sheetId="9" state="visible" r:id="rId11"/>
    <sheet name="Ex02" sheetId="10" state="visible" r:id="rId12"/>
    <sheet name="Ex03" sheetId="11" state="visible" r:id="rId13"/>
    <sheet name="Ex04" sheetId="12" state="visible" r:id="rId14"/>
    <sheet name="Ex05" sheetId="13" state="visible" r:id="rId15"/>
    <sheet name="Ex06" sheetId="14" state="visible" r:id="rId16"/>
    <sheet name="Ex07" sheetId="15" state="visible" r:id="rId17"/>
    <sheet name="Ex08" sheetId="16" state="visible" r:id="rId18"/>
    <sheet name="Ex09" sheetId="17" state="visible" r:id="rId19"/>
    <sheet name="Ex10" sheetId="18" state="visible" r:id="rId20"/>
    <sheet name="Ex11" sheetId="19" state="visible" r:id="rId21"/>
    <sheet name="Ex12" sheetId="20" state="visible" r:id="rId22"/>
    <sheet name="Ex13" sheetId="21" state="visible" r:id="rId23"/>
    <sheet name="Ex14" sheetId="22" state="visible" r:id="rId24"/>
    <sheet name="Ex15" sheetId="23" state="visible" r:id="rId25"/>
    <sheet name="Gabarito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<sst xmlns="http://schemas.openxmlformats.org/spreadsheetml/2006/main" count="1622" uniqueCount="1130">
  <si>
    <t xml:space="preserve">Análise de Balanço de Cooperativa de Crédito: planilha de exercícios resolvidos</t>
  </si>
  <si>
    <t xml:space="preserve">Para que serve</t>
  </si>
  <si>
    <t xml:space="preserve">Esta planilha acompanha o material HTML 'Como analisar o BP de uma cooperativa de crédito'. Ela traz o BP e a DSP de exemplo, as notas, todos os indicadores e a resolução de cada exercício proposto, com fórmula e explicação.</t>
  </si>
  <si>
    <t xml:space="preserve">Cooperativa de exemplo</t>
  </si>
  <si>
    <t xml:space="preserve">Coop Vale do Ipê: cooperativa singular fictícia, filiada a uma central de um sistema cooperativo, segmento S4. Os números foram construídos para fins didáticos e fecham entre si (o balanço bate, a DSP explica o PL, os saldos médios explicam as receitas).</t>
  </si>
  <si>
    <t xml:space="preserve">Unidade</t>
  </si>
  <si>
    <t xml:space="preserve">Valores em R$ mil, salvo indicação. Ex.: 1.870.000 = R$ 1,87 bilhão.</t>
  </si>
  <si>
    <t xml:space="preserve">Cores</t>
  </si>
  <si>
    <t xml:space="preserve">Azul = dado digitado (pode mudar para simular). Preto = fórmula. Verde = link direto de outra aba. Amarelo = resposta do exercício.</t>
  </si>
  <si>
    <t xml:space="preserve">Fórmulas</t>
  </si>
  <si>
    <t xml:space="preserve">A coluna 'Fórmula (Excel PT-BR)' das abas de exercício mostra a fórmula como ela aparece no Excel em português (MÉDIA, SOMA, MÍNIMO, ponto e vírgula). O Excel converte automaticamente.</t>
  </si>
  <si>
    <t xml:space="preserve">Ordem sugerida</t>
  </si>
  <si>
    <t xml:space="preserve">1) BP, DSP e Gerencial para conhecer a cooperativa. 2) Dados (notas). 3) Indicadores. 4) Ex01 a Ex15, na ordem do HTML. 5) Gabarito para conferir tudo de uma vez.</t>
  </si>
  <si>
    <t xml:space="preserve">Abas</t>
  </si>
  <si>
    <t xml:space="preserve">BP | DSP | Gerencial (DRE em cascata) | Dados (notas e premissas) | DMPL | RWA | Indicadores | Ex01 a Ex15 | Gabarito</t>
  </si>
  <si>
    <t xml:space="preserve">Ressalvas</t>
  </si>
  <si>
    <t xml:space="preserve">Os fatores de ponderação (FPR), o fator do risco operacional e as premissas de estresse do LCR são simplificações didáticas. Na cooperativa real, confira no DLO (documento 2061), no demonstrativo de RWA e na política de liquidez. A régua de 10,5% (8% + 2,5% de conservação) vale para o S4.</t>
  </si>
  <si>
    <t xml:space="preserve">Simule</t>
  </si>
  <si>
    <t xml:space="preserve">Troque um número azul (por exemplo, a despesa de PDD de 2025 na aba DSP) e veja ROE, IEAR, PL e Basileia mudarem juntos. É o melhor jeito de entender como as caixas se ligam.</t>
  </si>
  <si>
    <t xml:space="preserve">Balanço Patrimonial: Coop Vale do Ipê (fictícia)</t>
  </si>
  <si>
    <t xml:space="preserve">Em R$ mil | posição em 31/12 | AV sobre o total do ativo (ou do passivo + PL) | AH = 2025 ÷ 2024 - 1</t>
  </si>
  <si>
    <t xml:space="preserve">Linha</t>
  </si>
  <si>
    <t xml:space="preserve">31/12/2024</t>
  </si>
  <si>
    <t xml:space="preserve">31/12/2025</t>
  </si>
  <si>
    <t xml:space="preserve">AV 2024</t>
  </si>
  <si>
    <t xml:space="preserve">AV 2025</t>
  </si>
  <si>
    <t xml:space="preserve">AH 25/24</t>
  </si>
  <si>
    <t xml:space="preserve">Variação (R$ mil)</t>
  </si>
  <si>
    <t xml:space="preserve">O que entra</t>
  </si>
  <si>
    <t xml:space="preserve">ATIVO</t>
  </si>
  <si>
    <t xml:space="preserve">Disponibilidades (caixa)</t>
  </si>
  <si>
    <t xml:space="preserve">Dinheiro em espécie nas agências e caixas eletrônicos.</t>
  </si>
  <si>
    <t xml:space="preserve">Centralização financeira (relações interfinanceiras)</t>
  </si>
  <si>
    <t xml:space="preserve">Sobras de recursos aplicadas na Cooperativa Central. Principal reserva de liquidez; rende perto de 100% do CDI.</t>
  </si>
  <si>
    <t xml:space="preserve">Aplicações interfinanceiras de liquidez</t>
  </si>
  <si>
    <t xml:space="preserve">Depósitos interfinanceiros aplicados (DI intrassistema, Banco Cooperativo) e compromissadas.</t>
  </si>
  <si>
    <t xml:space="preserve">Títulos e valores mobiliários</t>
  </si>
  <si>
    <t xml:space="preserve">Títulos públicos federais e cotas de fundos de liquidez.</t>
  </si>
  <si>
    <t xml:space="preserve">Operações de crédito: empréstimos e títulos descontados</t>
  </si>
  <si>
    <t xml:space="preserve">Crédito pessoal, consignado, cheque especial, capital de giro, desconto de títulos, cartão parcelado.</t>
  </si>
  <si>
    <t xml:space="preserve">Operações de crédito: financiamentos</t>
  </si>
  <si>
    <t xml:space="preserve">Financiamento de veículos, imóveis, máquinas e investimentos de PJ (inclui repasses BNDES).</t>
  </si>
  <si>
    <t xml:space="preserve">Operações de crédito: financiamentos rurais e agroindustriais</t>
  </si>
  <si>
    <t xml:space="preserve">Custeio, investimento e comercialização agrícola e pecuária; agroindústria.</t>
  </si>
  <si>
    <t xml:space="preserve">(=) Carteira de crédito bruta</t>
  </si>
  <si>
    <t xml:space="preserve">Soma das operações de crédito antes da provisão.</t>
  </si>
  <si>
    <t xml:space="preserve">(-) Provisão para perdas esperadas (risco de crédito)</t>
  </si>
  <si>
    <t xml:space="preserve">Perda esperada da carteira (Res. CMN 4.966). Conta redutora: negativa.</t>
  </si>
  <si>
    <t xml:space="preserve">(=) Carteira de crédito líquida</t>
  </si>
  <si>
    <t xml:space="preserve">Carteira bruta menos provisão: o que se espera receber.</t>
  </si>
  <si>
    <t xml:space="preserve">Outros ativos financeiros</t>
  </si>
  <si>
    <t xml:space="preserve">Rendas a receber, valores de cartões a receber, convênios, devedores diversos financeiros.</t>
  </si>
  <si>
    <t xml:space="preserve">Ativos fiscais (correntes e diferidos)</t>
  </si>
  <si>
    <t xml:space="preserve">Impostos a compensar e créditos tributários.</t>
  </si>
  <si>
    <t xml:space="preserve">Bens não de uso próprio (BNDU)</t>
  </si>
  <si>
    <t xml:space="preserve">Bens recebidos em dação em pagamento, à venda.</t>
  </si>
  <si>
    <t xml:space="preserve">Outros ativos</t>
  </si>
  <si>
    <t xml:space="preserve">Despesas antecipadas, adiantamentos, materiais.</t>
  </si>
  <si>
    <t xml:space="preserve">Investimentos (participações no sistema)</t>
  </si>
  <si>
    <t xml:space="preserve">Quotas da Central, da holding do sistema e de outras entidades.</t>
  </si>
  <si>
    <t xml:space="preserve">Imobilizado de uso</t>
  </si>
  <si>
    <t xml:space="preserve">Agências, terrenos, móveis, equipamentos e TI, líquidos de depreciação.</t>
  </si>
  <si>
    <t xml:space="preserve">Intangível</t>
  </si>
  <si>
    <t xml:space="preserve">Softwares e licenças. Deduzido do capital no PR.</t>
  </si>
  <si>
    <t xml:space="preserve">TOTAL DO ATIVO</t>
  </si>
  <si>
    <t xml:space="preserve">Tudo o que a cooperativa tem ou tem a receber.</t>
  </si>
  <si>
    <t xml:space="preserve">PASSIVO</t>
  </si>
  <si>
    <t xml:space="preserve">Depósitos à vista</t>
  </si>
  <si>
    <t xml:space="preserve">Saldo de conta corrente. Não paga juros; sai a qualquer momento.</t>
  </si>
  <si>
    <t xml:space="preserve">Depósitos de poupança</t>
  </si>
  <si>
    <t xml:space="preserve">Poupança (inclui a rural). Remuneração da regra da poupança; parte é direcionada ao crédito rural.</t>
  </si>
  <si>
    <t xml:space="preserve">Depósitos a prazo (RDC)</t>
  </si>
  <si>
    <t xml:space="preserve">Recibo de Depósito Cooperativo: depósito a prazo pago em % do CDI.</t>
  </si>
  <si>
    <t xml:space="preserve">(=) Total de depósitos</t>
  </si>
  <si>
    <t xml:space="preserve">Depósitos totais dos associados.</t>
  </si>
  <si>
    <t xml:space="preserve">Recursos de aceites e emissão de títulos (LCA)</t>
  </si>
  <si>
    <t xml:space="preserve">Letra de Crédito do Agronegócio emitida pela cooperativa.</t>
  </si>
  <si>
    <t xml:space="preserve">Relações interfinanceiras (repasses da Central e do Banco)</t>
  </si>
  <si>
    <t xml:space="preserve">Recursos tomados da Central e do Banco do sistema (inclui recursos para crédito rural e recursos corporativos).</t>
  </si>
  <si>
    <t xml:space="preserve">Obrigações por empréstimos e repasses (BNDES e outros)</t>
  </si>
  <si>
    <t xml:space="preserve">BNDES, FINAME, BRDE, Funcafé e outros fundos repassados.</t>
  </si>
  <si>
    <t xml:space="preserve">Instrumentos de dívida elegíveis a capital (LFS)</t>
  </si>
  <si>
    <t xml:space="preserve">Letra Financeira Subordinada: dívida longa que conta como capital (Nível II).</t>
  </si>
  <si>
    <t xml:space="preserve">Outros passivos financeiros</t>
  </si>
  <si>
    <t xml:space="preserve">Cobrança e arrecadação de terceiros, valores a repassar de cartões.</t>
  </si>
  <si>
    <t xml:space="preserve">Provisões (contingências e garantias prestadas)</t>
  </si>
  <si>
    <t xml:space="preserve">Contingências trabalhistas, cíveis e fiscais e provisão para garantias financeiras prestadas.</t>
  </si>
  <si>
    <t xml:space="preserve">Obrigações sociais e estatutárias (FATES, sobras e quotas a pagar)</t>
  </si>
  <si>
    <t xml:space="preserve">FATES, juros ao capital e sobras a pagar, quotas a devolver de associados desligados.</t>
  </si>
  <si>
    <t xml:space="preserve">Obrigações fiscais e outras obrigações</t>
  </si>
  <si>
    <t xml:space="preserve">Tributos a recolher, salários e encargos, fornecedores.</t>
  </si>
  <si>
    <t xml:space="preserve">TOTAL DO PASSIVO</t>
  </si>
  <si>
    <t xml:space="preserve">Obrigações com associados e terceiros.</t>
  </si>
  <si>
    <t xml:space="preserve">PATRIMÔNIO LÍQUIDO</t>
  </si>
  <si>
    <t xml:space="preserve">Capital social</t>
  </si>
  <si>
    <t xml:space="preserve">Quotas-partes integralizadas pelos associados. Podem ser devolvidas quando o associado sai.</t>
  </si>
  <si>
    <t xml:space="preserve">Reserva legal</t>
  </si>
  <si>
    <t xml:space="preserve">Parte das sobras retida por lei e estatuto. Capital mais estável.</t>
  </si>
  <si>
    <t xml:space="preserve">Sobras acumuladas (à disposição da AGO)</t>
  </si>
  <si>
    <t xml:space="preserve">Sobras do ano ainda sem destino: a AGO decide (capital, conta corrente, reservas).</t>
  </si>
  <si>
    <t xml:space="preserve">Ajustes de avaliação patrimonial</t>
  </si>
  <si>
    <t xml:space="preserve">Marcação a mercado de títulos classificados em VJORA.</t>
  </si>
  <si>
    <t xml:space="preserve">TOTAL DO PATRIMÔNIO LÍQUIDO</t>
  </si>
  <si>
    <t xml:space="preserve">Recursos próprios dos associados.</t>
  </si>
  <si>
    <t xml:space="preserve">TOTAL DO PASSIVO + PL</t>
  </si>
  <si>
    <t xml:space="preserve">Conferência: ativo - (passivo + PL) deve ser zero</t>
  </si>
  <si>
    <t xml:space="preserve">FORA DO BALANÇO (contas de compensação)</t>
  </si>
  <si>
    <t xml:space="preserve">Coobrigações e garantias prestadas</t>
  </si>
  <si>
    <t xml:space="preserve">Fianças e coobrigações em repasses. Não está no ativo, mas consome capital.</t>
  </si>
  <si>
    <t xml:space="preserve">Demonstração de Sobras ou Perdas (DSP): Coop Vale do Ipê</t>
  </si>
  <si>
    <t xml:space="preserve">Em R$ mil | exercícios de 2024 e 2025 | AV sobre o total das receitas da intermediação | despesas com sinal negativo</t>
  </si>
  <si>
    <t xml:space="preserve">2024</t>
  </si>
  <si>
    <t xml:space="preserve">2025</t>
  </si>
  <si>
    <t xml:space="preserve">RECEITAS (INGRESSOS) DA INTERMEDIAÇÃO FINANCEIRA</t>
  </si>
  <si>
    <t xml:space="preserve">Operações de crédito</t>
  </si>
  <si>
    <t xml:space="preserve">Juros e encargos da carteira (comercial e rural). Ativo problemático (estágio 3) não gera receita até ser recebido.</t>
  </si>
  <si>
    <t xml:space="preserve">Recuperação de créditos baixados como prejuízo</t>
  </si>
  <si>
    <t xml:space="preserve">Valores recebidos de créditos que já tinham sido baixados como perda.</t>
  </si>
  <si>
    <t xml:space="preserve">Ingressos de depósitos intercooperativos (centralização financeira)</t>
  </si>
  <si>
    <t xml:space="preserve">Rendimento da centralização financeira na Central.</t>
  </si>
  <si>
    <t xml:space="preserve">Resultado de aplicações interfinanceiras de liquidez</t>
  </si>
  <si>
    <t xml:space="preserve">Rendimento do DI aplicado e de outras aplicações interfinanceiras.</t>
  </si>
  <si>
    <t xml:space="preserve">Resultado de operações com títulos e valores mobiliários</t>
  </si>
  <si>
    <t xml:space="preserve">Rendimento dos títulos e fundos.</t>
  </si>
  <si>
    <t xml:space="preserve">(=) Total das receitas da intermediação</t>
  </si>
  <si>
    <t xml:space="preserve">DESPESAS (DISPÊNDIOS) DA INTERMEDIAÇÃO FINANCEIRA</t>
  </si>
  <si>
    <t xml:space="preserve">Despesas de depósitos de poupança</t>
  </si>
  <si>
    <t xml:space="preserve">Remuneração paga na poupança.</t>
  </si>
  <si>
    <t xml:space="preserve">Despesas de depósitos a prazo (RDC)</t>
  </si>
  <si>
    <t xml:space="preserve">Juros pagos (ou apropriados) no RDC.</t>
  </si>
  <si>
    <t xml:space="preserve">Despesas de LCA</t>
  </si>
  <si>
    <t xml:space="preserve">Juros pagos na LCA.</t>
  </si>
  <si>
    <t xml:space="preserve">Despesas de LFS</t>
  </si>
  <si>
    <t xml:space="preserve">Juros da LFS.</t>
  </si>
  <si>
    <t xml:space="preserve">Contribuição ao FGCoop</t>
  </si>
  <si>
    <t xml:space="preserve">Contribuição ordinária ao Fundo Garantidor do Cooperativismo de Crédito.</t>
  </si>
  <si>
    <t xml:space="preserve">(=) Operações de captação no mercado</t>
  </si>
  <si>
    <t xml:space="preserve">Repasses interfinanceiros (Central e Banco)</t>
  </si>
  <si>
    <t xml:space="preserve">Custo dos recursos tomados da Central e do Banco.</t>
  </si>
  <si>
    <t xml:space="preserve">Empréstimos e repasses (BNDES e outros)</t>
  </si>
  <si>
    <t xml:space="preserve">Custo dos repasses BNDES e outros fundos.</t>
  </si>
  <si>
    <t xml:space="preserve">(=) Operações de empréstimos e repasses</t>
  </si>
  <si>
    <t xml:space="preserve">Provisão para perdas esperadas associadas ao risco de crédito</t>
  </si>
  <si>
    <t xml:space="preserve">Despesa de provisão para perdas esperadas do período.</t>
  </si>
  <si>
    <t xml:space="preserve">(=) Total das despesas da intermediação</t>
  </si>
  <si>
    <t xml:space="preserve">RESULTADO BRUTO DA INTERMEDIAÇÃO FINANCEIRA</t>
  </si>
  <si>
    <t xml:space="preserve">OUTRAS RECEITAS E DESPESAS OPERACIONAIS</t>
  </si>
  <si>
    <t xml:space="preserve">Receitas de prestação de serviços</t>
  </si>
  <si>
    <t xml:space="preserve">Cartões, seguros, consórcios, cobrança, comissões.</t>
  </si>
  <si>
    <t xml:space="preserve">Rendas de tarifas</t>
  </si>
  <si>
    <t xml:space="preserve">Tarifas de conta e pacotes de serviços.</t>
  </si>
  <si>
    <t xml:space="preserve">Despesas de pessoal</t>
  </si>
  <si>
    <t xml:space="preserve">Salários, encargos, benefícios, PLR e treinamento.</t>
  </si>
  <si>
    <t xml:space="preserve">Outras despesas administrativas</t>
  </si>
  <si>
    <t xml:space="preserve">TI, aluguéis, depreciação, marketing, transporte de valores, rateios da Central e da Confederação.</t>
  </si>
  <si>
    <t xml:space="preserve">Despesas tributárias</t>
  </si>
  <si>
    <t xml:space="preserve">PIS, Cofins e ISS (principalmente sobre atos não cooperativos e serviços).</t>
  </si>
  <si>
    <t xml:space="preserve">Outras receitas operacionais</t>
  </si>
  <si>
    <t xml:space="preserve">Juros ao capital recebidos de participações, recuperação de encargos e outras.</t>
  </si>
  <si>
    <t xml:space="preserve">Outras despesas operacionais</t>
  </si>
  <si>
    <t xml:space="preserve">Despesas com cartões, perdas operacionais, descontos concedidos e outras.</t>
  </si>
  <si>
    <t xml:space="preserve">Provisões para contingências e garantias (líquidas)</t>
  </si>
  <si>
    <t xml:space="preserve">Constituição (-) ou reversão (+) de provisões para contingências e garantias.</t>
  </si>
  <si>
    <t xml:space="preserve">(=) Total de outras receitas e despesas operacionais</t>
  </si>
  <si>
    <t xml:space="preserve">RESULTADO OPERACIONAL</t>
  </si>
  <si>
    <t xml:space="preserve">Resultado não operacional</t>
  </si>
  <si>
    <t xml:space="preserve">Ganho ou perda na venda de bens (imóveis, BNDU).</t>
  </si>
  <si>
    <t xml:space="preserve">RESULTADO ANTES DA TRIBUTAÇÃO</t>
  </si>
  <si>
    <t xml:space="preserve">IR e CS sobre atos não cooperativos</t>
  </si>
  <si>
    <t xml:space="preserve">Tributos sobre o resultado de atos não cooperativos.</t>
  </si>
  <si>
    <t xml:space="preserve">RESULTADO ANTES DOS JUROS AO CAPITAL (sobras brutas)</t>
  </si>
  <si>
    <t xml:space="preserve">Base do ROE: resultado gerado antes de remunerar as quotas.</t>
  </si>
  <si>
    <t xml:space="preserve">Juros ao capital</t>
  </si>
  <si>
    <t xml:space="preserve">Remuneração das quotas-partes (limitada à Selic pela LC 130/2009).</t>
  </si>
  <si>
    <t xml:space="preserve">SOBRAS DO EXERCÍCIO APÓS JUROS AO CAPITAL</t>
  </si>
  <si>
    <t xml:space="preserve">DESTINAÇÕES</t>
  </si>
  <si>
    <t xml:space="preserve">FATES: resultado de atos não cooperativos</t>
  </si>
  <si>
    <t xml:space="preserve">Resultado de atos não cooperativos vai inteiro para o FATES (Lei 5.764, art. 87).</t>
  </si>
  <si>
    <t xml:space="preserve">Reserva legal (45% da base)</t>
  </si>
  <si>
    <t xml:space="preserve">Percentual do estatuto sobre a base (lei: mínimo de 10%).</t>
  </si>
  <si>
    <t xml:space="preserve">FATES estatutário (5% da base)</t>
  </si>
  <si>
    <t xml:space="preserve">Percentual do estatuto sobre a base (lei: mínimo de 5%).</t>
  </si>
  <si>
    <t xml:space="preserve">SOBRAS À DISPOSIÇÃO DA AGO</t>
  </si>
  <si>
    <t xml:space="preserve">A AGO decide: capitalizar, distribuir em conta ou reforçar reservas.</t>
  </si>
  <si>
    <t xml:space="preserve">Conferência: sobras à disposição da AGO = sobras acumuladas do BP</t>
  </si>
  <si>
    <t xml:space="preserve">DRE gerencial em cascata (a mesma DSP, arrumada para análise)</t>
  </si>
  <si>
    <t xml:space="preserve">Em R$ mil | é a visão do simulador de resultado: margem financeira, receita líquida, custo e risco</t>
  </si>
  <si>
    <t xml:space="preserve">Como se calcula</t>
  </si>
  <si>
    <t xml:space="preserve">Receita de crédito</t>
  </si>
  <si>
    <t xml:space="preserve">Operações de crédito da DSP</t>
  </si>
  <si>
    <t xml:space="preserve">(+) Receita da liquidez</t>
  </si>
  <si>
    <t xml:space="preserve">Centralização + aplicações interfinanceiras + TVM</t>
  </si>
  <si>
    <t xml:space="preserve">(-) Despesa de captação</t>
  </si>
  <si>
    <t xml:space="preserve">Poupança, RDC, LCA, LFS e FGCoop</t>
  </si>
  <si>
    <t xml:space="preserve">(-) Despesa de repasses</t>
  </si>
  <si>
    <t xml:space="preserve">Central, Banco e BNDES</t>
  </si>
  <si>
    <t xml:space="preserve">(=) MARGEM FINANCEIRA</t>
  </si>
  <si>
    <t xml:space="preserve">Antes da PDD. É o 'spread' da cooperativa inteira</t>
  </si>
  <si>
    <t xml:space="preserve">(+) Serviços e tarifas</t>
  </si>
  <si>
    <t xml:space="preserve">(+/-) Outras receitas e despesas operacionais</t>
  </si>
  <si>
    <t xml:space="preserve">Outras receitas - outras despesas - tributárias +/- contingências</t>
  </si>
  <si>
    <t xml:space="preserve">(=) RECEITA LÍQUIDA (base do índice de eficiência)</t>
  </si>
  <si>
    <t xml:space="preserve">Margem + serviços + outras</t>
  </si>
  <si>
    <t xml:space="preserve">(-) Despesas administrativas</t>
  </si>
  <si>
    <t xml:space="preserve">Pessoal + outras administrativas</t>
  </si>
  <si>
    <t xml:space="preserve">(-) PDD líquida de recuperações</t>
  </si>
  <si>
    <t xml:space="preserve">Custo do risco de crédito do ano</t>
  </si>
  <si>
    <t xml:space="preserve">(=) RESULTADO OPERACIONAL</t>
  </si>
  <si>
    <t xml:space="preserve">(+/-) Resultado não operacional</t>
  </si>
  <si>
    <t xml:space="preserve">(-) IR e CS</t>
  </si>
  <si>
    <t xml:space="preserve">(=) RESULTADO ANTES DOS JUROS AO CAPITAL</t>
  </si>
  <si>
    <t xml:space="preserve">Base do ROE</t>
  </si>
  <si>
    <t xml:space="preserve">Conferência com a DSP (deve ser zero)</t>
  </si>
  <si>
    <t xml:space="preserve">(-) Itens não recorrentes (notas)</t>
  </si>
  <si>
    <t xml:space="preserve">Ganhos e perdas que não se repetem</t>
  </si>
  <si>
    <t xml:space="preserve">(=) RESULTADO RECORRENTE</t>
  </si>
  <si>
    <t xml:space="preserve">Resultado que tende a se repetir</t>
  </si>
  <si>
    <t xml:space="preserve">Notas explicativas e premissas da Coop Vale do Ipê</t>
  </si>
  <si>
    <t xml:space="preserve">Em R$ mil, salvo indicação. Azul = dado digitado; verde = link; preto = fórmula.</t>
  </si>
  <si>
    <t xml:space="preserve">Item</t>
  </si>
  <si>
    <t xml:space="preserve">2023 / valor</t>
  </si>
  <si>
    <t xml:space="preserve">Nota</t>
  </si>
  <si>
    <t xml:space="preserve">PREMISSAS MACRO</t>
  </si>
  <si>
    <t xml:space="preserve">CDI médio do ano</t>
  </si>
  <si>
    <t xml:space="preserve">Premissa do exemplo (aproximada)</t>
  </si>
  <si>
    <t xml:space="preserve">IPCA do ano</t>
  </si>
  <si>
    <t xml:space="preserve">Premissa do exemplo</t>
  </si>
  <si>
    <t xml:space="preserve">SALDOS PARA MÉDIAS (2023 digitado; 2024 e 2025 ligados ao BP)</t>
  </si>
  <si>
    <t xml:space="preserve">Ativo total</t>
  </si>
  <si>
    <t xml:space="preserve">Disponibilidades</t>
  </si>
  <si>
    <t xml:space="preserve">Centralização financeira</t>
  </si>
  <si>
    <t xml:space="preserve">Aplicações interfinanceiras</t>
  </si>
  <si>
    <t xml:space="preserve">TVM</t>
  </si>
  <si>
    <t xml:space="preserve">Liquidez rentável (centralização + aplicações + TVM)</t>
  </si>
  <si>
    <t xml:space="preserve">Liquidez total (caixa + liquidez rentável)</t>
  </si>
  <si>
    <t xml:space="preserve">Carteira comercial (empréstimos + financiamentos)</t>
  </si>
  <si>
    <t xml:space="preserve">Carteira rural</t>
  </si>
  <si>
    <t xml:space="preserve">Carteira bruta</t>
  </si>
  <si>
    <t xml:space="preserve">Provisão (negativa)</t>
  </si>
  <si>
    <t xml:space="preserve">Poupança</t>
  </si>
  <si>
    <t xml:space="preserve">RDC</t>
  </si>
  <si>
    <t xml:space="preserve">Depósitos totais</t>
  </si>
  <si>
    <t xml:space="preserve">LCA</t>
  </si>
  <si>
    <t xml:space="preserve">Captação com associados (depósitos + LCA)</t>
  </si>
  <si>
    <t xml:space="preserve">Repasses interfinanceiros</t>
  </si>
  <si>
    <t xml:space="preserve">Empréstimos e repasses</t>
  </si>
  <si>
    <t xml:space="preserve">LFS</t>
  </si>
  <si>
    <t xml:space="preserve">Patrimônio líquido</t>
  </si>
  <si>
    <t xml:space="preserve">CARTEIRA POR FAIXA DE ATRASO (saldo bruto)</t>
  </si>
  <si>
    <t xml:space="preserve">Em dia</t>
  </si>
  <si>
    <t xml:space="preserve">1 a 14 dias</t>
  </si>
  <si>
    <t xml:space="preserve">15 a 30 dias</t>
  </si>
  <si>
    <t xml:space="preserve">31 a 60 dias</t>
  </si>
  <si>
    <t xml:space="preserve">61 a 90 dias</t>
  </si>
  <si>
    <t xml:space="preserve">Acima de 90 dias</t>
  </si>
  <si>
    <t xml:space="preserve">Total (confere com a carteira do BP)</t>
  </si>
  <si>
    <t xml:space="preserve">CARTEIRA POR ESTÁGIO (Res. CMN 4.966)</t>
  </si>
  <si>
    <t xml:space="preserve">Estágio 1: saldo</t>
  </si>
  <si>
    <t xml:space="preserve">Estágio 2: saldo</t>
  </si>
  <si>
    <t xml:space="preserve">Estágio 3: saldo</t>
  </si>
  <si>
    <t xml:space="preserve">Estágio 1: provisão</t>
  </si>
  <si>
    <t xml:space="preserve">Estágio 2: provisão</t>
  </si>
  <si>
    <t xml:space="preserve">Estágio 3: provisão</t>
  </si>
  <si>
    <t xml:space="preserve">Provisão da carteira comercial</t>
  </si>
  <si>
    <t xml:space="preserve">Provisão da carteira rural</t>
  </si>
  <si>
    <t xml:space="preserve">Operações renegociadas no ano (saldo)</t>
  </si>
  <si>
    <t xml:space="preserve">20 maiores devedores ÷ carteira</t>
  </si>
  <si>
    <t xml:space="preserve">RECEITA DE CRÉDITO POR CARTEIRA (detalhe da DSP)</t>
  </si>
  <si>
    <t xml:space="preserve">Receita da carteira comercial</t>
  </si>
  <si>
    <t xml:space="preserve">Receita da carteira rural</t>
  </si>
  <si>
    <t xml:space="preserve">ASSOCIADOS E CONCENTRAÇÃO</t>
  </si>
  <si>
    <t xml:space="preserve">Associados (quantidade)</t>
  </si>
  <si>
    <t xml:space="preserve">10 maiores depositantes ÷ captação</t>
  </si>
  <si>
    <t xml:space="preserve">ITENS NÃO RECORRENTES (efeito no resultado: + ganho, - perda)</t>
  </si>
  <si>
    <t xml:space="preserve">Programa de desligamento voluntário (em despesas de pessoal)</t>
  </si>
  <si>
    <t xml:space="preserve">Venda de imóvel de agência (resultado não operacional)</t>
  </si>
  <si>
    <t xml:space="preserve">Reversão de contingência fiscal ganha (em contingências)</t>
  </si>
  <si>
    <t xml:space="preserve">Recuperação extraordinária de um grande crédito baixado</t>
  </si>
  <si>
    <t xml:space="preserve">Total de itens não recorrentes</t>
  </si>
  <si>
    <t xml:space="preserve">DETALHE DE DESPESAS ADMINISTRATIVAS</t>
  </si>
  <si>
    <t xml:space="preserve">Depreciação e amortização (dentro de outras despesas administrativas)</t>
  </si>
  <si>
    <t xml:space="preserve">Rateios da Central e da Confederação (dentro de outras despesas administrativas)</t>
  </si>
  <si>
    <t xml:space="preserve">CAPITAL REGULATÓRIO (premissas)</t>
  </si>
  <si>
    <t xml:space="preserve">RWA de risco de mercado (informado)</t>
  </si>
  <si>
    <t xml:space="preserve">Outros ajustes prudenciais (além do intangível)</t>
  </si>
  <si>
    <t xml:space="preserve">Receita bruta para risco operacional (margem financeira + serviços e tarifas)</t>
  </si>
  <si>
    <t xml:space="preserve">2024 e 2025 = margem financeira + serviços e tarifas (aba Gerencial)</t>
  </si>
  <si>
    <t xml:space="preserve">Receita bruta de 2022</t>
  </si>
  <si>
    <t xml:space="preserve">Receita bruta de 2023</t>
  </si>
  <si>
    <t xml:space="preserve">Fator do risco operacional (abordagem simplificada)</t>
  </si>
  <si>
    <t xml:space="preserve">Didático: 15% da receita bruta média</t>
  </si>
  <si>
    <t xml:space="preserve">Fator F (exigência básica de PR)</t>
  </si>
  <si>
    <t xml:space="preserve">Exigência de PR + adicional de conservação (S4)</t>
  </si>
  <si>
    <t xml:space="preserve">8% + 2,5%</t>
  </si>
  <si>
    <t xml:space="preserve">Piso gerencial de MM/RWA (política de recursos corporativos)</t>
  </si>
  <si>
    <t xml:space="preserve">Aula de Recursos Corporativos: 2 p.p.</t>
  </si>
  <si>
    <t xml:space="preserve">FPR usado na conta do potencial de crédito (política)</t>
  </si>
  <si>
    <t xml:space="preserve">Nível mínimo de liquidez (NML) sobre depósitos</t>
  </si>
  <si>
    <t xml:space="preserve">Ilustrativo</t>
  </si>
  <si>
    <t xml:space="preserve">Destinação à reserva legal (estatuto)</t>
  </si>
  <si>
    <t xml:space="preserve">Lei 5.764: mínimo de 10%</t>
  </si>
  <si>
    <t xml:space="preserve">Destinação ao FATES (estatuto)</t>
  </si>
  <si>
    <t xml:space="preserve">Lei 5.764: mínimo de 5%</t>
  </si>
  <si>
    <t xml:space="preserve">FATORES DE PONDERAÇÃO DE RISCO (FPR, ilustrativos)</t>
  </si>
  <si>
    <t xml:space="preserve">FPR: Disponibilidades</t>
  </si>
  <si>
    <t xml:space="preserve">FPR: Centralização financeira</t>
  </si>
  <si>
    <t xml:space="preserve">FPR: Aplicações interfinanceiras</t>
  </si>
  <si>
    <t xml:space="preserve">FPR: Títulos públicos federais</t>
  </si>
  <si>
    <t xml:space="preserve">FPR: Carteira comercial (líquida de provisão)</t>
  </si>
  <si>
    <t xml:space="preserve">FPR: Carteira rural (líquida de provisão)</t>
  </si>
  <si>
    <t xml:space="preserve">FPR: Outros ativos financeiros</t>
  </si>
  <si>
    <t xml:space="preserve">FPR: Ativos fiscais</t>
  </si>
  <si>
    <t xml:space="preserve">FPR: BNDU e outros ativos</t>
  </si>
  <si>
    <t xml:space="preserve">FPR: Investimentos</t>
  </si>
  <si>
    <t xml:space="preserve">FPR: Imobilizado</t>
  </si>
  <si>
    <t xml:space="preserve">FPR: Coobrigações e garantias (fora do balanço)</t>
  </si>
  <si>
    <t xml:space="preserve">FTP: TAXAS DE TRANSFERÊNCIA (anuais)</t>
  </si>
  <si>
    <t xml:space="preserve">FTP: Crédito comercial (paga à tesouraria)</t>
  </si>
  <si>
    <t xml:space="preserve">FTP: Crédito rural (paga à tesouraria)</t>
  </si>
  <si>
    <t xml:space="preserve">FTP: Depósito à vista, parcela estável (recebe da tesouraria)</t>
  </si>
  <si>
    <t xml:space="preserve">FTP: Poupança (recebe)</t>
  </si>
  <si>
    <t xml:space="preserve">FTP: RDC (recebe)</t>
  </si>
  <si>
    <t xml:space="preserve">FTP: LCA (recebe)</t>
  </si>
  <si>
    <t xml:space="preserve">RAROC POR CARTEIRA (premissas de 2025)</t>
  </si>
  <si>
    <t xml:space="preserve">Custo operacional alocado: comercial (% do saldo médio)</t>
  </si>
  <si>
    <t xml:space="preserve">Custo operacional alocado: rural</t>
  </si>
  <si>
    <t xml:space="preserve">Perda esperada: comercial (% do saldo médio)</t>
  </si>
  <si>
    <t xml:space="preserve">Perda esperada: rural</t>
  </si>
  <si>
    <t xml:space="preserve">Capital alocado (% do RWA)</t>
  </si>
  <si>
    <t xml:space="preserve">10,5% + 2 p.p.</t>
  </si>
  <si>
    <t xml:space="preserve">Retorno mínimo exigido (hurdle)</t>
  </si>
  <si>
    <t xml:space="preserve">Custo de capital da aula de Viabilidade</t>
  </si>
  <si>
    <t xml:space="preserve">LCR DIDÁTICO: PREMISSAS DE ESTRESSE DE 30 DIAS</t>
  </si>
  <si>
    <t xml:space="preserve">Fuga de depósitos à vista</t>
  </si>
  <si>
    <t xml:space="preserve">Fuga de poupança</t>
  </si>
  <si>
    <t xml:space="preserve">Fuga de RDC (média, inclui liquidez diária)</t>
  </si>
  <si>
    <t xml:space="preserve">LCA vencendo em 30 dias (sai 100%)</t>
  </si>
  <si>
    <t xml:space="preserve">Repasses e obrigações vencendo em 30 dias (sai 100%)</t>
  </si>
  <si>
    <t xml:space="preserve">Limites de crédito não utilizados (cheque especial, cartão)</t>
  </si>
  <si>
    <t xml:space="preserve">Uso dos limites no estresse</t>
  </si>
  <si>
    <t xml:space="preserve">Outras saídas contratuais</t>
  </si>
  <si>
    <t xml:space="preserve">Parcelas de crédito a receber em 30 dias</t>
  </si>
  <si>
    <t xml:space="preserve">Parcela das entradas de crédito considerada</t>
  </si>
  <si>
    <t xml:space="preserve">Aplicações interfinanceiras vencendo em 30 dias (entram 100%)</t>
  </si>
  <si>
    <t xml:space="preserve">Teto das entradas (% das saídas)</t>
  </si>
  <si>
    <t xml:space="preserve">FLUXOS DO PL EM 2025 (para a DMPL)</t>
  </si>
  <si>
    <t xml:space="preserve">Integralizações de capital (novos associados e aportes)</t>
  </si>
  <si>
    <t xml:space="preserve">Devoluções de quotas (associados desligados)</t>
  </si>
  <si>
    <t xml:space="preserve">AGO 2025: parte das sobras de 2024 capitalizada</t>
  </si>
  <si>
    <t xml:space="preserve">O restante foi creditado em conta corrente</t>
  </si>
  <si>
    <t xml:space="preserve">Demonstração das mutações do PL em 2025 (DMPL)</t>
  </si>
  <si>
    <t xml:space="preserve">Em R$ mil | cada linha mostra o efeito em cada conta do PL</t>
  </si>
  <si>
    <t xml:space="preserve">Evento</t>
  </si>
  <si>
    <t xml:space="preserve">Sobras acumuladas</t>
  </si>
  <si>
    <t xml:space="preserve">Ajustes de avaliação</t>
  </si>
  <si>
    <t xml:space="preserve">Total do PL</t>
  </si>
  <si>
    <t xml:space="preserve">Explicação</t>
  </si>
  <si>
    <t xml:space="preserve">Saldo em 31/12/2024</t>
  </si>
  <si>
    <t xml:space="preserve">Vem do BP de 2024</t>
  </si>
  <si>
    <t xml:space="preserve">Integralizações de capital</t>
  </si>
  <si>
    <t xml:space="preserve">Novos associados e aportes</t>
  </si>
  <si>
    <t xml:space="preserve">Devoluções de quotas</t>
  </si>
  <si>
    <t xml:space="preserve">Associados que saíram levam a quota</t>
  </si>
  <si>
    <t xml:space="preserve">AGO: capitalização de sobras de 2024</t>
  </si>
  <si>
    <t xml:space="preserve">Sai das sobras, entra no capital: PL não muda</t>
  </si>
  <si>
    <t xml:space="preserve">AGO: sobras de 2024 creditadas em conta corrente</t>
  </si>
  <si>
    <t xml:space="preserve">Sai do PL e vira depósito à vista</t>
  </si>
  <si>
    <t xml:space="preserve">Resultado do exercício (antes dos juros ao capital)</t>
  </si>
  <si>
    <t xml:space="preserve">DSP de 2025</t>
  </si>
  <si>
    <t xml:space="preserve">Juros ao capital: destinação</t>
  </si>
  <si>
    <t xml:space="preserve">Remuneração das quotas</t>
  </si>
  <si>
    <t xml:space="preserve">Juros ao capital: incorporação às quotas</t>
  </si>
  <si>
    <t xml:space="preserve">Creditados no capital do associado: efeito zero no PL</t>
  </si>
  <si>
    <t xml:space="preserve">FATES (ato não cooperativo + estatutário)</t>
  </si>
  <si>
    <t xml:space="preserve">Vai para o passivo (obrigações sociais)</t>
  </si>
  <si>
    <t xml:space="preserve">Sai das sobras, entra na reserva</t>
  </si>
  <si>
    <t xml:space="preserve">Ajuste de avaliação patrimonial do ano</t>
  </si>
  <si>
    <t xml:space="preserve">Marcação a mercado (VJORA)</t>
  </si>
  <si>
    <t xml:space="preserve">Saldo em 31/12/2025</t>
  </si>
  <si>
    <t xml:space="preserve">Soma das linhas</t>
  </si>
  <si>
    <t xml:space="preserve">Conferência com o BP de 2025 (deve ser zero)</t>
  </si>
  <si>
    <t xml:space="preserve">RWA, Patrimônio de Referência e Índice de Basileia</t>
  </si>
  <si>
    <t xml:space="preserve">Em R$ mil | FPR ilustrativos (aba Dados) | exigência do S4: 10,5% do RWA</t>
  </si>
  <si>
    <t xml:space="preserve">Exposição</t>
  </si>
  <si>
    <t xml:space="preserve">FPR</t>
  </si>
  <si>
    <t xml:space="preserve">Exposição 2024</t>
  </si>
  <si>
    <t xml:space="preserve">RWA 2024</t>
  </si>
  <si>
    <t xml:space="preserve">Exposição 2025</t>
  </si>
  <si>
    <t xml:space="preserve">RWA 2025</t>
  </si>
  <si>
    <t xml:space="preserve">Títulos públicos federais</t>
  </si>
  <si>
    <t xml:space="preserve">Carteira comercial (líquida de provisão)</t>
  </si>
  <si>
    <t xml:space="preserve">Carteira rural (líquida de provisão)</t>
  </si>
  <si>
    <t xml:space="preserve">Ativos fiscais</t>
  </si>
  <si>
    <t xml:space="preserve">BNDU e outros ativos</t>
  </si>
  <si>
    <t xml:space="preserve">Investimentos</t>
  </si>
  <si>
    <t xml:space="preserve">Imobilizado</t>
  </si>
  <si>
    <t xml:space="preserve">Coobrigações e garantias (fora do balanço)</t>
  </si>
  <si>
    <t xml:space="preserve">RWA de risco de crédito (soma)</t>
  </si>
  <si>
    <t xml:space="preserve">Receita bruta média de 3 anos</t>
  </si>
  <si>
    <t xml:space="preserve">RWA de risco operacional = fator × receita média ÷ F</t>
  </si>
  <si>
    <t xml:space="preserve">RWA de risco de mercado</t>
  </si>
  <si>
    <t xml:space="preserve">RWA TOTAL</t>
  </si>
  <si>
    <t xml:space="preserve">Densidade: RWA ÷ ativo total</t>
  </si>
  <si>
    <t xml:space="preserve">(-) Ajustes prudenciais (intangível + outros)</t>
  </si>
  <si>
    <t xml:space="preserve">(=) Capital principal (Nível I)</t>
  </si>
  <si>
    <t xml:space="preserve">(+) Nível II: LFS</t>
  </si>
  <si>
    <t xml:space="preserve">(=) PATRIMÔNIO DE REFERÊNCIA (PR)</t>
  </si>
  <si>
    <t xml:space="preserve">Índice de Basileia = PR ÷ RWA</t>
  </si>
  <si>
    <t xml:space="preserve">Índice de capital principal = CP ÷ RWA</t>
  </si>
  <si>
    <t xml:space="preserve">MM/RWA = (Basileia - 10,5%) em p.p.</t>
  </si>
  <si>
    <t xml:space="preserve">Margem de capital (R$ mil) = PR - 10,5% × RWA</t>
  </si>
  <si>
    <t xml:space="preserve">Potencial de crédito até MM/RWA de 2 p.p. = (PR ÷ 12,5% - RWA) ÷ 1,1</t>
  </si>
  <si>
    <t xml:space="preserve">Índice de Basileia sem a LFS</t>
  </si>
  <si>
    <t xml:space="preserve">Os 15 indicadores calculados (2024 e 2025)</t>
  </si>
  <si>
    <t xml:space="preserve">Cada linha é uma fórmula viva. Coluna E: variação (p.p. para taxas, % para valores).</t>
  </si>
  <si>
    <t xml:space="preserve">Indicador</t>
  </si>
  <si>
    <t xml:space="preserve">Variação</t>
  </si>
  <si>
    <t xml:space="preserve">O que olhar</t>
  </si>
  <si>
    <t xml:space="preserve">1. PATRIMÔNIO LÍQUIDO (PL)</t>
  </si>
  <si>
    <t xml:space="preserve">Patrimônio líquido (R$ mil)</t>
  </si>
  <si>
    <t xml:space="preserve">Capital social + reservas + sobras + ajustes</t>
  </si>
  <si>
    <t xml:space="preserve">Colchão para perdas e base para crescer</t>
  </si>
  <si>
    <t xml:space="preserve">Crescimento do PL</t>
  </si>
  <si>
    <t xml:space="preserve">PL do ano ÷ PL do ano anterior - 1</t>
  </si>
  <si>
    <t xml:space="preserve">Compare com o crescimento do RWA</t>
  </si>
  <si>
    <t xml:space="preserve">PL ÷ ativo total</t>
  </si>
  <si>
    <t xml:space="preserve">PL ÷ ativo</t>
  </si>
  <si>
    <t xml:space="preserve">Alavancagem contábil (sem risco)</t>
  </si>
  <si>
    <t xml:space="preserve">Ativo ÷ PL (vezes)</t>
  </si>
  <si>
    <t xml:space="preserve">Ativo ÷ PL</t>
  </si>
  <si>
    <t xml:space="preserve">Quantos reais de ativo por real de capital</t>
  </si>
  <si>
    <t xml:space="preserve">Capital social ÷ PL</t>
  </si>
  <si>
    <t xml:space="preserve">Quotas ÷ PL</t>
  </si>
  <si>
    <t xml:space="preserve">Quanto do PL pode sair com resgate de quotas</t>
  </si>
  <si>
    <t xml:space="preserve">Capital social por associado (R$)</t>
  </si>
  <si>
    <t xml:space="preserve">Capital × 1.000 ÷ associados</t>
  </si>
  <si>
    <t xml:space="preserve">2. CRESCIMENTO DA CARTEIRA DE CRÉDITO</t>
  </si>
  <si>
    <t xml:space="preserve">Carteira bruta (R$ mil)</t>
  </si>
  <si>
    <t xml:space="preserve">Empréstimos + financiamentos + rural</t>
  </si>
  <si>
    <t xml:space="preserve">Crescimento nominal da carteira</t>
  </si>
  <si>
    <t xml:space="preserve">Carteira ÷ carteira anterior - 1</t>
  </si>
  <si>
    <t xml:space="preserve">Acima do PL consome capital</t>
  </si>
  <si>
    <t xml:space="preserve">Crescimento real (descontado o IPCA)</t>
  </si>
  <si>
    <t xml:space="preserve">(1 + nominal) ÷ (1 + IPCA) - 1</t>
  </si>
  <si>
    <t xml:space="preserve">Crescimento de verdade</t>
  </si>
  <si>
    <t xml:space="preserve">Crescimento da carteira comercial</t>
  </si>
  <si>
    <t xml:space="preserve">Crescimento da carteira rural</t>
  </si>
  <si>
    <t xml:space="preserve">Crescimento do ativo</t>
  </si>
  <si>
    <t xml:space="preserve">3. CAPTAÇÃO (DEPÓSITOS À VISTA, POUPANÇA, RDC E LCA)</t>
  </si>
  <si>
    <t xml:space="preserve">Captação com associados (R$ mil)</t>
  </si>
  <si>
    <t xml:space="preserve">Depósitos + LCA</t>
  </si>
  <si>
    <t xml:space="preserve">Crescimento da captação</t>
  </si>
  <si>
    <t xml:space="preserve">Se cresce menos que o crédito, a liquidez cai</t>
  </si>
  <si>
    <t xml:space="preserve">Mix: depósito à vista</t>
  </si>
  <si>
    <t xml:space="preserve">DV ÷ captação</t>
  </si>
  <si>
    <t xml:space="preserve">Funding mais barato</t>
  </si>
  <si>
    <t xml:space="preserve">Mix: poupança</t>
  </si>
  <si>
    <t xml:space="preserve">Mix: RDC</t>
  </si>
  <si>
    <t xml:space="preserve">Funding mais caro e mais estável</t>
  </si>
  <si>
    <t xml:space="preserve">Mix: LCA</t>
  </si>
  <si>
    <t xml:space="preserve">Custo médio da captação (inclui DV a custo zero)</t>
  </si>
  <si>
    <t xml:space="preserve">-(poupança + RDC + LCA) da DSP ÷ captação média</t>
  </si>
  <si>
    <t xml:space="preserve">Custo do RDC em % do CDI</t>
  </si>
  <si>
    <t xml:space="preserve">-(despesa RDC) ÷ RDC médio ÷ CDI</t>
  </si>
  <si>
    <t xml:space="preserve">Acima de 100% sem crédito bem precificado destrói margem</t>
  </si>
  <si>
    <t xml:space="preserve">Crédito ÷ captação</t>
  </si>
  <si>
    <t xml:space="preserve">Carteira ÷ (depósitos + LCA)</t>
  </si>
  <si>
    <t xml:space="preserve">Quanto da captação virou crédito</t>
  </si>
  <si>
    <t xml:space="preserve">4. MARGEM FINANCEIRA</t>
  </si>
  <si>
    <t xml:space="preserve">Margem financeira (R$ mil)</t>
  </si>
  <si>
    <t xml:space="preserve">Crédito + liquidez - captação - repasses</t>
  </si>
  <si>
    <t xml:space="preserve">Margem financeira ÷ ativo médio (NIM)</t>
  </si>
  <si>
    <t xml:space="preserve">Margem ÷ média do ativo</t>
  </si>
  <si>
    <t xml:space="preserve">Compare sempre com o CDI do período</t>
  </si>
  <si>
    <t xml:space="preserve">Taxa média da carteira</t>
  </si>
  <si>
    <t xml:space="preserve">Receita de crédito ÷ carteira média</t>
  </si>
  <si>
    <t xml:space="preserve">Taxa média da liquidez</t>
  </si>
  <si>
    <t xml:space="preserve">Receita da liquidez ÷ liquidez rentável média</t>
  </si>
  <si>
    <t xml:space="preserve">Perto de 100% do CDI</t>
  </si>
  <si>
    <t xml:space="preserve">5. SPREAD FINANCEIRO</t>
  </si>
  <si>
    <t xml:space="preserve">Spread de crédito (p.p.)</t>
  </si>
  <si>
    <t xml:space="preserve">Taxa da carteira - custo da captação</t>
  </si>
  <si>
    <t xml:space="preserve">Taxa da carteira - CDI (p.p.)</t>
  </si>
  <si>
    <t xml:space="preserve">Prêmio da carteira sobre o CDI</t>
  </si>
  <si>
    <t xml:space="preserve">Carteira pré perde prêmio quando o CDI sobe</t>
  </si>
  <si>
    <t xml:space="preserve">6. ROE E RESULTADO RECORRENTE</t>
  </si>
  <si>
    <t xml:space="preserve">Resultado antes dos juros ao capital (R$ mil)</t>
  </si>
  <si>
    <t xml:space="preserve">DSP</t>
  </si>
  <si>
    <t xml:space="preserve">PL médio (R$ mil)</t>
  </si>
  <si>
    <t xml:space="preserve">Média do PL inicial e final</t>
  </si>
  <si>
    <t xml:space="preserve">ROE</t>
  </si>
  <si>
    <t xml:space="preserve">Resultado ÷ PL médio</t>
  </si>
  <si>
    <t xml:space="preserve">Compare com o custo de capital (~15%) e com o CDI</t>
  </si>
  <si>
    <t xml:space="preserve">ROA</t>
  </si>
  <si>
    <t xml:space="preserve">Resultado ÷ ativo médio</t>
  </si>
  <si>
    <t xml:space="preserve">DuPont: margem (resultado ÷ receita líquida)</t>
  </si>
  <si>
    <t xml:space="preserve">DuPont: giro (receita líquida ÷ ativo médio)</t>
  </si>
  <si>
    <t xml:space="preserve">DuPont: alavancagem (ativo médio ÷ PL médio)</t>
  </si>
  <si>
    <t xml:space="preserve">Itens não recorrentes (R$ mil)</t>
  </si>
  <si>
    <t xml:space="preserve">Notas</t>
  </si>
  <si>
    <t xml:space="preserve">Resultado recorrente (R$ mil)</t>
  </si>
  <si>
    <t xml:space="preserve">Resultado - não recorrentes</t>
  </si>
  <si>
    <t xml:space="preserve">ROE recorrente</t>
  </si>
  <si>
    <t xml:space="preserve">Resultado recorrente ÷ PL médio</t>
  </si>
  <si>
    <t xml:space="preserve">O que se repete no ano que vem</t>
  </si>
  <si>
    <t xml:space="preserve">7. EFICIÊNCIA OPERACIONAL (COST-TO-INCOME)</t>
  </si>
  <si>
    <t xml:space="preserve">Índice de eficiência (IE)</t>
  </si>
  <si>
    <t xml:space="preserve">-Despesas administrativas ÷ receita líquida</t>
  </si>
  <si>
    <t xml:space="preserve">Menor é melhor</t>
  </si>
  <si>
    <t xml:space="preserve">IE recorrente</t>
  </si>
  <si>
    <t xml:space="preserve">Sem PDV na despesa e sem reversão de contingência na receita</t>
  </si>
  <si>
    <t xml:space="preserve">IE ajustado ao risco (IEAR)</t>
  </si>
  <si>
    <t xml:space="preserve">-(Desp. adm + PDD líquida) ÷ receita líquida</t>
  </si>
  <si>
    <t xml:space="preserve">Acima de 100% = prejuízo</t>
  </si>
  <si>
    <t xml:space="preserve">8. INADIMPLÊNCIA</t>
  </si>
  <si>
    <t xml:space="preserve">Inadimplência acima de 90 dias (NPL 90)</t>
  </si>
  <si>
    <t xml:space="preserve">Vencidos &gt; 90 dias ÷ carteira</t>
  </si>
  <si>
    <t xml:space="preserve">Atraso que já virou problema</t>
  </si>
  <si>
    <t xml:space="preserve">Inadimplência de 15 a 90 dias</t>
  </si>
  <si>
    <t xml:space="preserve">(15-30 + 31-60 + 61-90) ÷ carteira</t>
  </si>
  <si>
    <t xml:space="preserve">Sinal antecedente do NPL 90</t>
  </si>
  <si>
    <t xml:space="preserve">Estágio 3 ÷ carteira</t>
  </si>
  <si>
    <t xml:space="preserve">Ativos problemáticos</t>
  </si>
  <si>
    <t xml:space="preserve">Inclui reestruturados, por isso maior que o NPL 90</t>
  </si>
  <si>
    <t xml:space="preserve">Renegociadas ÷ carteira</t>
  </si>
  <si>
    <t xml:space="preserve">Renegociação alta pode esconder atraso</t>
  </si>
  <si>
    <t xml:space="preserve">9. PDD / PROVISÃO PARA PERDAS</t>
  </si>
  <si>
    <t xml:space="preserve">Provisão ÷ carteira</t>
  </si>
  <si>
    <t xml:space="preserve">-Provisão ÷ carteira</t>
  </si>
  <si>
    <t xml:space="preserve">Cobertura do NPL 90</t>
  </si>
  <si>
    <t xml:space="preserve">-Provisão ÷ vencidos &gt; 90 dias</t>
  </si>
  <si>
    <t xml:space="preserve">Abaixo de 100%: provisão não cobre nem o atraso</t>
  </si>
  <si>
    <t xml:space="preserve">Cobertura do estágio 3</t>
  </si>
  <si>
    <t xml:space="preserve">Provisão do E3 ÷ saldo do E3</t>
  </si>
  <si>
    <t xml:space="preserve">Custo do risco (PDD ÷ carteira média)</t>
  </si>
  <si>
    <t xml:space="preserve">-PDD ÷ carteira média</t>
  </si>
  <si>
    <t xml:space="preserve">Compare com o prêmio da carteira sobre o CDI</t>
  </si>
  <si>
    <t xml:space="preserve">Custo do risco líquido de recuperações</t>
  </si>
  <si>
    <t xml:space="preserve">-(PDD + recuperação) ÷ carteira média</t>
  </si>
  <si>
    <t xml:space="preserve">Baixas para prejuízo (R$ mil)</t>
  </si>
  <si>
    <t xml:space="preserve">Provisão inicial + PDD - provisão final (em módulo)</t>
  </si>
  <si>
    <t xml:space="preserve">10. RWA (ATIVOS PONDERADOS PELO RISCO)</t>
  </si>
  <si>
    <t xml:space="preserve">RWA total (R$ mil)</t>
  </si>
  <si>
    <t xml:space="preserve">Crédito + operacional + mercado</t>
  </si>
  <si>
    <t xml:space="preserve">RWA de crédito (R$ mil)</t>
  </si>
  <si>
    <t xml:space="preserve">Soma de exposição × FPR</t>
  </si>
  <si>
    <t xml:space="preserve">RWA operacional (R$ mil)</t>
  </si>
  <si>
    <t xml:space="preserve">15% × receita média ÷ 8%</t>
  </si>
  <si>
    <t xml:space="preserve">Densidade (RWA ÷ ativo)</t>
  </si>
  <si>
    <t xml:space="preserve">Quanto risco cada real de ativo carrega</t>
  </si>
  <si>
    <t xml:space="preserve">11. ÍNDICE DE BASILEIA</t>
  </si>
  <si>
    <t xml:space="preserve">Patrimônio de Referência (R$ mil)</t>
  </si>
  <si>
    <t xml:space="preserve">Capital principal + Nível II</t>
  </si>
  <si>
    <t xml:space="preserve">Índice de Basileia</t>
  </si>
  <si>
    <t xml:space="preserve">PR ÷ RWA</t>
  </si>
  <si>
    <t xml:space="preserve">Mínimo do S4: 10,5%</t>
  </si>
  <si>
    <t xml:space="preserve">MM/RWA (folga em p.p.)</t>
  </si>
  <si>
    <t xml:space="preserve">Basileia - 10,5%</t>
  </si>
  <si>
    <t xml:space="preserve">Política de recursos corporativos: piso de 2 p.p.</t>
  </si>
  <si>
    <t xml:space="preserve">Potencial de crédito até o piso (R$ mil)</t>
  </si>
  <si>
    <t xml:space="preserve">(PR ÷ 12,5% - RWA) ÷ 1,1</t>
  </si>
  <si>
    <t xml:space="preserve">12. LIQUIDEZ (LCR E INDICADORES INTERNOS)</t>
  </si>
  <si>
    <t xml:space="preserve">Liquidez total (R$ mil)</t>
  </si>
  <si>
    <t xml:space="preserve">Caixa + centralização + aplicações + TVM</t>
  </si>
  <si>
    <t xml:space="preserve">Liquidez ÷ ativo</t>
  </si>
  <si>
    <t xml:space="preserve">Índice de liquidez interno</t>
  </si>
  <si>
    <t xml:space="preserve">Liquidez ÷ (NML × depósitos)</t>
  </si>
  <si>
    <t xml:space="preserve">Abaixo de 1 falta; muito acima custa</t>
  </si>
  <si>
    <t xml:space="preserve">Liquidez imediata</t>
  </si>
  <si>
    <t xml:space="preserve">(Caixa + centralização) ÷ depósitos à vista</t>
  </si>
  <si>
    <t xml:space="preserve">LCR: ativos líquidos (R$ mil)</t>
  </si>
  <si>
    <t xml:space="preserve">Caixa + TVM + centralização</t>
  </si>
  <si>
    <t xml:space="preserve">LCR: saídas em 30 dias de estresse (R$ mil)</t>
  </si>
  <si>
    <t xml:space="preserve">Saldos × fatores + vencimentos</t>
  </si>
  <si>
    <t xml:space="preserve">LCR: entradas consideradas (R$ mil)</t>
  </si>
  <si>
    <t xml:space="preserve">Mínimo(entradas; 75% das saídas)</t>
  </si>
  <si>
    <t xml:space="preserve">LCR didático</t>
  </si>
  <si>
    <t xml:space="preserve">Ativos líquidos ÷ (saídas - entradas)</t>
  </si>
  <si>
    <t xml:space="preserve">Regulatório só no S1; aqui é régua interna</t>
  </si>
  <si>
    <t xml:space="preserve">13. FTP (FUNDS TRANSFER PRICING): MARGEM POR PRODUTO (R$ mil)</t>
  </si>
  <si>
    <t xml:space="preserve">Crédito comercial: receita - saldo médio × FTP</t>
  </si>
  <si>
    <t xml:space="preserve">Crédito rural: receita - saldo médio × FTP</t>
  </si>
  <si>
    <t xml:space="preserve">Depósito à vista: saldo médio × FTP - custo (zero)</t>
  </si>
  <si>
    <t xml:space="preserve">Poupança: saldo médio × FTP - despesa</t>
  </si>
  <si>
    <t xml:space="preserve">RDC: saldo médio × FTP - despesa</t>
  </si>
  <si>
    <t xml:space="preserve">LCA: saldo médio × FTP - despesa</t>
  </si>
  <si>
    <t xml:space="preserve">Tesouraria/ALM: o que sobra para fechar a margem</t>
  </si>
  <si>
    <t xml:space="preserve">Margem financeira - soma dos produtos</t>
  </si>
  <si>
    <t xml:space="preserve">Inclui o ganho de financiar ativos com PL e o descasamento</t>
  </si>
  <si>
    <t xml:space="preserve">CONFERÊNCIAS</t>
  </si>
  <si>
    <t xml:space="preserve">BP fecha? (ativo - passivo - PL)</t>
  </si>
  <si>
    <t xml:space="preserve">Deve ser zero</t>
  </si>
  <si>
    <t xml:space="preserve">DSP bate com a visão gerencial?</t>
  </si>
  <si>
    <t xml:space="preserve">14. RAROC POR CARTEIRA EM 2025 (R$ mil)</t>
  </si>
  <si>
    <t xml:space="preserve">Componente</t>
  </si>
  <si>
    <t xml:space="preserve">Comercial</t>
  </si>
  <si>
    <t xml:space="preserve">Rural</t>
  </si>
  <si>
    <t xml:space="preserve">Saldo médio</t>
  </si>
  <si>
    <t xml:space="preserve">Média da carteira</t>
  </si>
  <si>
    <t xml:space="preserve">Provisão média</t>
  </si>
  <si>
    <t xml:space="preserve">Margem após FTP</t>
  </si>
  <si>
    <t xml:space="preserve">Linha de FTP acima</t>
  </si>
  <si>
    <t xml:space="preserve">(-) Custo operacional alocado</t>
  </si>
  <si>
    <t xml:space="preserve">Saldo médio × % de custo</t>
  </si>
  <si>
    <t xml:space="preserve">(-) Perda esperada</t>
  </si>
  <si>
    <t xml:space="preserve">Saldo médio × % de PE</t>
  </si>
  <si>
    <t xml:space="preserve">RWA da carteira</t>
  </si>
  <si>
    <t xml:space="preserve">(Saldo médio - provisão média) × FPR</t>
  </si>
  <si>
    <t xml:space="preserve">Capital alocado</t>
  </si>
  <si>
    <t xml:space="preserve">RWA × 12,5%</t>
  </si>
  <si>
    <t xml:space="preserve">(+) Crédito do capital (capital × FTP)</t>
  </si>
  <si>
    <t xml:space="preserve">O capital não paga juros: a carteira recebe o FTP sobre ele</t>
  </si>
  <si>
    <t xml:space="preserve">(=) Resultado ajustado ao risco</t>
  </si>
  <si>
    <t xml:space="preserve">Margem - custo - PE + crédito do capital</t>
  </si>
  <si>
    <t xml:space="preserve">RAROC</t>
  </si>
  <si>
    <t xml:space="preserve">Resultado ajustado ÷ capital alocado</t>
  </si>
  <si>
    <t xml:space="preserve">RAROC - hurdle (p.p.)</t>
  </si>
  <si>
    <t xml:space="preserve">Positivo cria valor; negativo destrói</t>
  </si>
  <si>
    <t xml:space="preserve">Exercício 01: Onde entra cada lançamento?</t>
  </si>
  <si>
    <t xml:space="preserve">Tema: linhas do BP</t>
  </si>
  <si>
    <t xml:space="preserve">Para cada evento, escolha a linha do balanço que ele afeta. A ideia é treinar o olhar: antes de analisar um número, saiba o que mora dentro dele.</t>
  </si>
  <si>
    <t xml:space="preserve">Nº</t>
  </si>
  <si>
    <t xml:space="preserve">Linha do balanço (resposta)</t>
  </si>
  <si>
    <t xml:space="preserve">Por quê</t>
  </si>
  <si>
    <t xml:space="preserve">Associado deposita R$ 5 mil em dinheiro na conta corrente. Qual linha do passivo aumenta?</t>
  </si>
  <si>
    <t xml:space="preserve">Dinheiro na conta corrente é depósito à vista: o associado saca quando quiser e a cooperativa não paga juros. No ativo, entra em Disponibilidades (caixa) e, no fim do dia, a sobra vai para a centralização.</t>
  </si>
  <si>
    <t xml:space="preserve">A cooperativa libera R$ 200 mil de custeio agrícola para um produtor. Qual linha do ativo aumenta?</t>
  </si>
  <si>
    <t xml:space="preserve">Operações de crédito: financiamentos rurais</t>
  </si>
  <si>
    <t xml:space="preserve">Custeio, investimento e comercialização agrícola ficam em Financiamentos rurais e agroindustriais. O dinheiro sai da liquidez (centralização) e vira carteira.</t>
  </si>
  <si>
    <t xml:space="preserve">A sobra de caixa do dia é transferida para a Cooperativa Central. Qual linha do ativo aumenta?</t>
  </si>
  <si>
    <t xml:space="preserve">A sobra de recursos da singular fica aplicada na Central (relações interfinanceiras, centralização financeira), rendendo perto de 100% do CDI. É a principal reserva de liquidez.</t>
  </si>
  <si>
    <t xml:space="preserve">Associado aplica R$ 50 mil em RDC. Qual linha do passivo aumenta?</t>
  </si>
  <si>
    <t xml:space="preserve">RDC (Recibo de Depósito Cooperativo) é o depósito a prazo da cooperativa, o equivalente ao CDB do banco. Paga um percentual do CDI e é garantido pelo FGCoop até o limite.</t>
  </si>
  <si>
    <t xml:space="preserve">Associado compra R$ 30 mil em LCA emitida pela cooperativa. Qual linha do passivo aumenta?</t>
  </si>
  <si>
    <t xml:space="preserve">LCA é um título emitido pela instituição com lastro em crédito do agronegócio. Fica em Recursos de aceites e emissão de títulos, não em depósitos.</t>
  </si>
  <si>
    <t xml:space="preserve">A cooperativa recebe um trator em dação em pagamento de uma dívida vencida. Qual linha do ativo aumenta?</t>
  </si>
  <si>
    <t xml:space="preserve">Bem recebido para quitar dívida não é de uso da cooperativa: vai para BNDU até ser vendido. BNDU crescendo é sinal de recuperação de crédito difícil.</t>
  </si>
  <si>
    <t xml:space="preserve">Um novo associado integraliza R$ 1 mil em quotas-partes. Qual linha aumenta?</t>
  </si>
  <si>
    <t xml:space="preserve">Quota-parte integralizada é capital social, dentro do patrimônio líquido. Ela pode ser devolvida quando o associado sai, por isso é um capital menos estável que as reservas.</t>
  </si>
  <si>
    <t xml:space="preserve">A AGO destina 5% das sobras ao FATES. Em que linha do balanço o valor fica?</t>
  </si>
  <si>
    <t xml:space="preserve">Obrigações sociais e estatutárias</t>
  </si>
  <si>
    <t xml:space="preserve">Nas cooperativas de crédito, o FATES é registrado no passivo (obrigações sociais e estatutárias), e não no PL: é um recurso com destino obrigatório (assistência técnica, educacional e social).</t>
  </si>
  <si>
    <t xml:space="preserve">Financiamento de máquina com recurso do BNDES repassado pelo Banco Sicredi. Qual linha do passivo aumenta?</t>
  </si>
  <si>
    <t xml:space="preserve">Obrigações por empréstimos e repasses</t>
  </si>
  <si>
    <t xml:space="preserve">O dinheiro veio de um repasse (BNDES, FINAME, BRDE) e a cooperativa deve devolvê-lo: Obrigações por empréstimos e repasses. No ativo, o financiamento entra na carteira de crédito.</t>
  </si>
  <si>
    <t xml:space="preserve">A cooperativa subscreve quotas da Central e da Sicredi Participações. Qual linha do ativo aumenta?</t>
  </si>
  <si>
    <t xml:space="preserve">Participação no capital de outras entidades do sistema é Investimento. Ela rende (juros ao capital, dividendos) mas não é liquidez.</t>
  </si>
  <si>
    <t xml:space="preserve">A cooperativa presta fiança de R$ 100 mil a um associado perante um fornecedor. Onde aparece o valor garantido?</t>
  </si>
  <si>
    <t xml:space="preserve">Fora do balanço (coobrigações e garantias)</t>
  </si>
  <si>
    <t xml:space="preserve">Garantia prestada não sai do caixa: fica em contas de compensação (fora do balanço). Mesmo assim consome capital (entra no RWA) e, pela Res. 4.966, pode exigir provisão no passivo.</t>
  </si>
  <si>
    <t xml:space="preserve">Compra de licença de software de uso por 5 anos. Qual linha do ativo aumenta?</t>
  </si>
  <si>
    <t xml:space="preserve">Software e licenças de longo prazo são ativos intangíveis, amortizados ao longo do uso. O intangível é deduzido do capital no cálculo do PR.</t>
  </si>
  <si>
    <t xml:space="preserve">A cooperativa constitui provisão para perdas de uma operação em atraso. Qual linha do ativo é afetada?</t>
  </si>
  <si>
    <t xml:space="preserve">(-) Provisão para perdas esperadas</t>
  </si>
  <si>
    <t xml:space="preserve">A provisão é uma conta redutora da carteira (fica negativa no ativo). A contrapartida é a despesa de provisão na DSP, que reduz o resultado.</t>
  </si>
  <si>
    <t xml:space="preserve">Juros do mês sobre os RDC são apropriados (reconhecidos), mas o associado só recebe no vencimento. Qual linha do passivo aumenta?</t>
  </si>
  <si>
    <t xml:space="preserve">Os juros apropriados aumentam o saldo devido ao associado no próprio RDC (regime de competência). Contrapartida: despesa de captação na DSP.</t>
  </si>
  <si>
    <t xml:space="preserve">Salários de dezembro, pagos só em janeiro. Qual linha do passivo aumenta no fechamento?</t>
  </si>
  <si>
    <t xml:space="preserve">Salários, encargos, tributos e fornecedores a pagar ficam em obrigações fiscais e outras obrigações. A contrapartida é despesa de pessoal.</t>
  </si>
  <si>
    <t xml:space="preserve">Exercício 02: Análise vertical do passivo e do PL</t>
  </si>
  <si>
    <t xml:space="preserve">Tema: AV | valores em R$ mil, salvo indicação</t>
  </si>
  <si>
    <t xml:space="preserve">Use o BP da Coop Vale do Ipê. Calcule a participação de cada grupo no total do passivo + PL em 2024 e em 2025 e explique o que mudou na forma como a cooperativa se financia.</t>
  </si>
  <si>
    <t xml:space="preserve">Dica: AV = linha ÷ total do passivo + PL do mesmo ano. O total do passivo + PL é igual ao total do ativo.</t>
  </si>
  <si>
    <t xml:space="preserve">Passo / pergunta</t>
  </si>
  <si>
    <t xml:space="preserve">Resultado</t>
  </si>
  <si>
    <t xml:space="preserve">Fórmula (Excel PT-BR)</t>
  </si>
  <si>
    <t xml:space="preserve">Como foi feito</t>
  </si>
  <si>
    <t xml:space="preserve">Total do passivo + PL em 2024</t>
  </si>
  <si>
    <t xml:space="preserve">R$ mil</t>
  </si>
  <si>
    <t xml:space="preserve">=BP!B44</t>
  </si>
  <si>
    <t xml:space="preserve">Base da AV do lado direito do balanço (igual ao ativo total).</t>
  </si>
  <si>
    <t xml:space="preserve">Total do passivo + PL em 2025</t>
  </si>
  <si>
    <t xml:space="preserve">=BP!C44</t>
  </si>
  <si>
    <t xml:space="preserve">Mesmo raciocínio para 2025.</t>
  </si>
  <si>
    <t xml:space="preserve">a</t>
  </si>
  <si>
    <t xml:space="preserve">RDC ÷ passivo + PL, 2024</t>
  </si>
  <si>
    <t xml:space="preserve">%</t>
  </si>
  <si>
    <t xml:space="preserve">=BP!B27/C7</t>
  </si>
  <si>
    <t xml:space="preserve">Saldo de RDC de 2024 dividido pelo total.</t>
  </si>
  <si>
    <t xml:space="preserve">b</t>
  </si>
  <si>
    <t xml:space="preserve">RDC ÷ passivo + PL, 2025</t>
  </si>
  <si>
    <t xml:space="preserve">=BP!C27/C8</t>
  </si>
  <si>
    <t xml:space="preserve">Sobe: a cooperativa depende mais do funding que paga % do CDI.</t>
  </si>
  <si>
    <t xml:space="preserve">c</t>
  </si>
  <si>
    <t xml:space="preserve">Depósito à vista ÷ passivo + PL, 2024</t>
  </si>
  <si>
    <t xml:space="preserve">=BP!B25/C7</t>
  </si>
  <si>
    <t xml:space="preserve">Funding sem custo.</t>
  </si>
  <si>
    <t xml:space="preserve">d</t>
  </si>
  <si>
    <t xml:space="preserve">Depósito à vista ÷ passivo + PL, 2025</t>
  </si>
  <si>
    <t xml:space="preserve">=BP!C25/C8</t>
  </si>
  <si>
    <t xml:space="preserve">Cai: o associado tira dinheiro parado da conta quando o CDI está alto. A captação fica mais cara.</t>
  </si>
  <si>
    <t xml:space="preserve">e</t>
  </si>
  <si>
    <t xml:space="preserve">PL ÷ passivo + PL, 2025</t>
  </si>
  <si>
    <t xml:space="preserve">=BP!C43/C8</t>
  </si>
  <si>
    <t xml:space="preserve">Quanto do ativo é financiado com capital próprio (11,3%).</t>
  </si>
  <si>
    <t xml:space="preserve">f</t>
  </si>
  <si>
    <t xml:space="preserve">(Depósitos + LCA) ÷ passivo + PL, 2025</t>
  </si>
  <si>
    <t xml:space="preserve">=(BP!C28+BP!C29)/C8</t>
  </si>
  <si>
    <t xml:space="preserve">Três quartos do balanço vêm dos associados: é o modelo cooperativo.</t>
  </si>
  <si>
    <t xml:space="preserve">Leitura</t>
  </si>
  <si>
    <t xml:space="preserve">O mix piorou de custo: o RDC ganhou espaço e o depósito à vista perdeu. Com CDI alto, isso é esperado, mas pressiona a margem financeira. O PL manteve a participação, ou seja, cresceu no ritmo do balanço.</t>
  </si>
  <si>
    <t xml:space="preserve">Exercício 03: Análise horizontal da DSP</t>
  </si>
  <si>
    <t xml:space="preserve">Tema: AH | valores em R$ mil, salvo indicação</t>
  </si>
  <si>
    <t xml:space="preserve">Calcule a variação de 2025 contra 2024 das linhas abaixo. Depois responda: por que a despesa de captação cresceu muito mais que a receita de crédito?</t>
  </si>
  <si>
    <t xml:space="preserve">Dica: AH = valor de 2025 ÷ valor de 2024 - 1. Despesas negativas dividem por negativas: o sinal some e a conta funciona.</t>
  </si>
  <si>
    <t xml:space="preserve">AH da receita de crédito</t>
  </si>
  <si>
    <t xml:space="preserve">=DSP!C6/DSP!B6-1</t>
  </si>
  <si>
    <t xml:space="preserve">2025 ÷ 2024 - 1.</t>
  </si>
  <si>
    <t xml:space="preserve">AH da despesa de captação</t>
  </si>
  <si>
    <t xml:space="preserve">=DSP!C18/DSP!B18-1</t>
  </si>
  <si>
    <t xml:space="preserve">Negativo ÷ negativo dá positivo: a fórmula funciona sem ABS.</t>
  </si>
  <si>
    <t xml:space="preserve">AH da margem financeira</t>
  </si>
  <si>
    <t xml:space="preserve">=Gerencial!C9/Gerencial!B9-1</t>
  </si>
  <si>
    <t xml:space="preserve">Margem cresce bem menos que a carteira (14%).</t>
  </si>
  <si>
    <t xml:space="preserve">AH da despesa de PDD</t>
  </si>
  <si>
    <t xml:space="preserve">=DSP!C22/DSP!B22-1</t>
  </si>
  <si>
    <t xml:space="preserve">PDD cresce quase 3 vezes mais que a carteira: piora de risco.</t>
  </si>
  <si>
    <t xml:space="preserve">AH do resultado</t>
  </si>
  <si>
    <t xml:space="preserve">=DSP!C39/DSP!B39-1</t>
  </si>
  <si>
    <t xml:space="preserve">Resultado cai mesmo com a carteira crescendo.</t>
  </si>
  <si>
    <t xml:space="preserve">Por quê?</t>
  </si>
  <si>
    <t xml:space="preserve">A captação (RDC, LCA, poupança) é paga em % do CDI e reprecifica rápido: com o CDI médio subindo de 10,9% para 14,3%, a despesa explode. A carteira tem parte prefixada (comercial e rural) que só reprecifica no vencimento. A margem cresce pouco e a PDD maior come o resto.</t>
  </si>
  <si>
    <t xml:space="preserve">Exercício 04: Margem financeira e NIM de 2024</t>
  </si>
  <si>
    <t xml:space="preserve">Tema: Margem financeira | valores em R$ mil, salvo indicação</t>
  </si>
  <si>
    <t xml:space="preserve">Monte a margem financeira de 2024 pela visão gerencial (receita de crédito + receita da liquidez - despesa de captação - despesa de repasses) e calcule o NIM sobre o ativo médio. Compare com 2025.</t>
  </si>
  <si>
    <t xml:space="preserve">Dica: Ativo médio de 2024 = (ativo de 31/12/2023 + ativo de 31/12/2024) ÷ 2. O ativo de 2023 está nas notas.</t>
  </si>
  <si>
    <t xml:space="preserve">Margem financeira de 2024 (R$ mil)</t>
  </si>
  <si>
    <t xml:space="preserve">=DSP!B6+DSP!B8+DSP!B9+DSP!B10+DSP!B18+DSP!B21</t>
  </si>
  <si>
    <t xml:space="preserve">Receita de crédito + receita da liquidez + despesa de captação (negativa) + despesa de repasses (negativa).</t>
  </si>
  <si>
    <t xml:space="preserve">Ativo médio de 2024</t>
  </si>
  <si>
    <t xml:space="preserve">=MÉDIA(Dados!B9;Dados!C9)</t>
  </si>
  <si>
    <t xml:space="preserve">Média do ativo de 31/12/2023 (notas) e de 31/12/2024.</t>
  </si>
  <si>
    <t xml:space="preserve">NIM de 2024</t>
  </si>
  <si>
    <t xml:space="preserve">=C7/C8</t>
  </si>
  <si>
    <t xml:space="preserve">Margem ÷ ativo médio.</t>
  </si>
  <si>
    <t xml:space="preserve">Ativo médio de 2025</t>
  </si>
  <si>
    <t xml:space="preserve">=MÉDIA(Dados!C9;Dados!D9)</t>
  </si>
  <si>
    <t xml:space="preserve">NIM de 2025</t>
  </si>
  <si>
    <t xml:space="preserve">=Gerencial!C9/C10</t>
  </si>
  <si>
    <t xml:space="preserve">Mesma conta para 2025.</t>
  </si>
  <si>
    <t xml:space="preserve">Variação do NIM (p.p.)</t>
  </si>
  <si>
    <t xml:space="preserve">p.p.</t>
  </si>
  <si>
    <t xml:space="preserve">=(C11-C9)*100</t>
  </si>
  <si>
    <t xml:space="preserve">Queda de meio ponto: a margem cresceu menos que o ativo.</t>
  </si>
  <si>
    <t xml:space="preserve">O NIM caiu porque a captação ficou mais cara mais rápido que a carteira e porque a liquidez (que rende só o CDI) cresceu. Em reais a margem subiu: olhe sempre o percentual.</t>
  </si>
  <si>
    <t xml:space="preserve">Exercício 05: Spread de 2024</t>
  </si>
  <si>
    <t xml:space="preserve">Tema: Spread | valores em R$ mil, salvo indicação</t>
  </si>
  <si>
    <t xml:space="preserve">Calcule as taxas médias implícitas de 2024 a partir da DSP e dos saldos médios. Use como captação os depósitos (à vista, poupança e RDC) e a LCA.</t>
  </si>
  <si>
    <t xml:space="preserve">Dica: Custo da captação = despesas de poupança + RDC + LCA (sem FGCoop e sem LFS) ÷ saldo médio de depósitos + LCA.</t>
  </si>
  <si>
    <t xml:space="preserve">Carteira média de 2024</t>
  </si>
  <si>
    <t xml:space="preserve">=MÉDIA(Dados!B18;Dados!C18)</t>
  </si>
  <si>
    <t xml:space="preserve">Média de 2023 e 2024.</t>
  </si>
  <si>
    <t xml:space="preserve">=DSP!B6/C7</t>
  </si>
  <si>
    <t xml:space="preserve">Receita de crédito ÷ carteira média.</t>
  </si>
  <si>
    <t xml:space="preserve">Captação média de 2024 (depósitos + LCA)</t>
  </si>
  <si>
    <t xml:space="preserve">=MÉDIA(Dados!B25;Dados!C25)</t>
  </si>
  <si>
    <t xml:space="preserve">Inclui o depósito à vista, que custa zero.</t>
  </si>
  <si>
    <t xml:space="preserve">Despesa de poupança + RDC + LCA</t>
  </si>
  <si>
    <t xml:space="preserve">=-(DSP!B13+DSP!B14+DSP!B15)</t>
  </si>
  <si>
    <t xml:space="preserve">Sem FGCoop (não é juro) e sem LFS (é capital).</t>
  </si>
  <si>
    <t xml:space="preserve">Custo médio da captação</t>
  </si>
  <si>
    <t xml:space="preserve">=C10/C9</t>
  </si>
  <si>
    <t xml:space="preserve">Despesa ÷ captação média.</t>
  </si>
  <si>
    <t xml:space="preserve">=(C8-C11)*100</t>
  </si>
  <si>
    <t xml:space="preserve">Diferença entre a taxa que recebe e a que paga.</t>
  </si>
  <si>
    <t xml:space="preserve">Custo médio dos passivos onerosos</t>
  </si>
  <si>
    <t xml:space="preserve">=C10/(C9-MÉDIA(Dados!B20;Dados!C20))</t>
  </si>
  <si>
    <t xml:space="preserve">Tira o depósito à vista do denominador: mostra o custo de quem cobra juros.</t>
  </si>
  <si>
    <t xml:space="preserve">Em 2024 o spread era de 10,3 p.p.; em 2025 cai para 8,6 p.p. O depósito à vista derruba o custo médio (8,5% contra 10,6% só dos onerosos): por isso perder DV dói.</t>
  </si>
  <si>
    <t xml:space="preserve">Exercício 06: ROE contábil, ROE recorrente e DuPont de 2024</t>
  </si>
  <si>
    <t xml:space="preserve">Tema: ROE e resultado recorrente | valores em R$ mil, salvo indicação</t>
  </si>
  <si>
    <t xml:space="preserve">Calcule o ROE de 2024 (resultado antes dos juros ao capital ÷ PL médio), tire os itens não recorrentes listados nas notas e decomponha o ROE em margem × giro × alavancagem.</t>
  </si>
  <si>
    <t xml:space="preserve">Dica: Item não recorrente com sinal negativo (despesa) é somado de volta; com sinal positivo (ganho) é retirado.</t>
  </si>
  <si>
    <t xml:space="preserve">Resultado de 2024</t>
  </si>
  <si>
    <t xml:space="preserve">=DSP!B39</t>
  </si>
  <si>
    <t xml:space="preserve">Antes dos juros ao capital: é o que o capital do associado gerou.</t>
  </si>
  <si>
    <t xml:space="preserve">PL médio de 2024</t>
  </si>
  <si>
    <t xml:space="preserve">=MÉDIA(Dados!B29;Dados!C29)</t>
  </si>
  <si>
    <t xml:space="preserve">Média de 2023 (notas) e 2024.</t>
  </si>
  <si>
    <t xml:space="preserve">ROE contábil</t>
  </si>
  <si>
    <t xml:space="preserve">Resultado ÷ PL médio.</t>
  </si>
  <si>
    <t xml:space="preserve">Itens não recorrentes de 2024</t>
  </si>
  <si>
    <t xml:space="preserve">=Dados!C66</t>
  </si>
  <si>
    <t xml:space="preserve">PDV (-2.500) e venda de imóvel (+300): total -2.200.</t>
  </si>
  <si>
    <t xml:space="preserve">Resultado recorrente</t>
  </si>
  <si>
    <t xml:space="preserve">=C7-C10</t>
  </si>
  <si>
    <t xml:space="preserve">Tirar um item negativo significa somá-lo de volta.</t>
  </si>
  <si>
    <t xml:space="preserve">=C11/C8</t>
  </si>
  <si>
    <t xml:space="preserve">Resultado recorrente ÷ PL médio.</t>
  </si>
  <si>
    <t xml:space="preserve">Margem (resultado ÷ receita líquida)</t>
  </si>
  <si>
    <t xml:space="preserve">=C7/Gerencial!B12</t>
  </si>
  <si>
    <t xml:space="preserve">Quanto de cada real de receita líquida vira resultado.</t>
  </si>
  <si>
    <t xml:space="preserve">Giro (receita líquida ÷ ativo médio)</t>
  </si>
  <si>
    <t xml:space="preserve">=Gerencial!B12/MÉDIA(Dados!B9;Dados!C9)</t>
  </si>
  <si>
    <t xml:space="preserve">Quanto de receita líquida cada real de ativo gera.</t>
  </si>
  <si>
    <t xml:space="preserve">Alavancagem (ativo médio ÷ PL médio)</t>
  </si>
  <si>
    <t xml:space="preserve">x</t>
  </si>
  <si>
    <t xml:space="preserve">=MÉDIA(Dados!B9;Dados!C9)/C8</t>
  </si>
  <si>
    <t xml:space="preserve">Quantos reais de ativo cada real de PL sustenta.</t>
  </si>
  <si>
    <t xml:space="preserve">Prova: margem × giro × alavancagem</t>
  </si>
  <si>
    <t xml:space="preserve">=C13*C14*C15</t>
  </si>
  <si>
    <t xml:space="preserve">Tem de dar o ROE do item a.</t>
  </si>
  <si>
    <t xml:space="preserve">Em 2024 o ROE recorrente (20,7%) era maior que o contábil: o PDV puxou o resultado para baixo. Em 2025 acontece o contrário (16,4% contábil e 13,6% recorrente). Comparar só o contábil esconde metade da piora.</t>
  </si>
  <si>
    <t xml:space="preserve">Exercício 07: Eficiência operacional (cost-to-income)</t>
  </si>
  <si>
    <t xml:space="preserve">Tema: Eficiência | valores em R$ mil, salvo indicação</t>
  </si>
  <si>
    <t xml:space="preserve">Calcule o índice de eficiência (despesas administrativas ÷ receita líquida) e o IEAR (somando a PDD líquida de recuperações). Depois descubra quanto de despesa a cooperativa teria de cortar em 2025 para o IE recorrente voltar ao IE recorrente de 2024.</t>
  </si>
  <si>
    <t xml:space="preserve">Dica: Receita líquida = margem financeira + serviços e tarifas + outras receitas - outras despesas - tributárias +/- contingências.</t>
  </si>
  <si>
    <t xml:space="preserve">Receita líquida de 2024</t>
  </si>
  <si>
    <t xml:space="preserve">=Gerencial!B12</t>
  </si>
  <si>
    <t xml:space="preserve">Aba Gerencial.</t>
  </si>
  <si>
    <t xml:space="preserve">IE de 2024</t>
  </si>
  <si>
    <t xml:space="preserve">=-Gerencial!B13/C7</t>
  </si>
  <si>
    <t xml:space="preserve">Despesas administrativas (pessoal + outras) ÷ receita líquida.</t>
  </si>
  <si>
    <t xml:space="preserve">IEAR de 2024</t>
  </si>
  <si>
    <t xml:space="preserve">=-(Gerencial!B13+Gerencial!B14)/C7</t>
  </si>
  <si>
    <t xml:space="preserve">Soma a PDD líquida de recuperações.</t>
  </si>
  <si>
    <t xml:space="preserve">Despesa adm recorrente de 2025</t>
  </si>
  <si>
    <t xml:space="preserve">=-(Gerencial!C13-Dados!D62)</t>
  </si>
  <si>
    <t xml:space="preserve">Em 2025 não houve PDV: igual à despesa total.</t>
  </si>
  <si>
    <t xml:space="preserve">Receita líquida recorrente de 2025</t>
  </si>
  <si>
    <t xml:space="preserve">=Gerencial!C12-Dados!D64</t>
  </si>
  <si>
    <t xml:space="preserve">Tira a reversão de contingência de 3.000.</t>
  </si>
  <si>
    <t xml:space="preserve">IE recorrente de 2025</t>
  </si>
  <si>
    <t xml:space="preserve">=C10/C11</t>
  </si>
  <si>
    <t xml:space="preserve">Pior que o contábil (59,1%).</t>
  </si>
  <si>
    <t xml:space="preserve">IE recorrente de 2024 (meta)</t>
  </si>
  <si>
    <t xml:space="preserve">=-(Gerencial!B13-Dados!C62)/(Gerencial!B12-Dados!C64)</t>
  </si>
  <si>
    <t xml:space="preserve">Sem o PDV de 2.500.</t>
  </si>
  <si>
    <t xml:space="preserve">Corte necessário (R$ mil)</t>
  </si>
  <si>
    <t xml:space="preserve">=C10-C13*C11</t>
  </si>
  <si>
    <t xml:space="preserve">Despesa atual - despesa que daria o IE meta com a mesma receita.</t>
  </si>
  <si>
    <t xml:space="preserve">O IE contábil quase não mexeu (58,5% para 59,1%), mas o recorrente piorou 2,3 p.p. E o IEAR subiu 5,4 p.p.: o maior problema de 2025 é o risco de crédito, não o custo.</t>
  </si>
  <si>
    <t xml:space="preserve">Exercício 08: Inadimplência e provisão de 2024</t>
  </si>
  <si>
    <t xml:space="preserve">Tema: Inadimplência e PDD | valores em R$ mil, salvo indicação</t>
  </si>
  <si>
    <t xml:space="preserve">Use as notas de carteira por atraso e por estágio. Depois explique por que a cobertura caiu em 2025.</t>
  </si>
  <si>
    <t xml:space="preserve">Dica: Provisão final = provisão inicial + despesa de PDD - baixas. Isole as baixas.</t>
  </si>
  <si>
    <t xml:space="preserve">NPL 90 de 2024</t>
  </si>
  <si>
    <t xml:space="preserve">=Dados!C38/BP!B13</t>
  </si>
  <si>
    <t xml:space="preserve">Vencidos há mais de 90 dias ÷ carteira bruta.</t>
  </si>
  <si>
    <t xml:space="preserve">Inadimplência 15 a 90 dias de 2024</t>
  </si>
  <si>
    <t xml:space="preserve">=(Dados!C35+Dados!C36+Dados!C37)/BP!B13</t>
  </si>
  <si>
    <t xml:space="preserve">Atraso curto que pode virar NPL nos próximos meses.</t>
  </si>
  <si>
    <t xml:space="preserve">Cobertura do NPL 90 em 2024</t>
  </si>
  <si>
    <t xml:space="preserve">=-BP!B14/Dados!C38</t>
  </si>
  <si>
    <t xml:space="preserve">Provisão (em módulo) ÷ vencidos &gt; 90 dias.</t>
  </si>
  <si>
    <t xml:space="preserve">Custo do risco de 2024</t>
  </si>
  <si>
    <t xml:space="preserve">=-DSP!B22/MÉDIA(Dados!B18;Dados!C18)</t>
  </si>
  <si>
    <t xml:space="preserve">Despesa de PDD ÷ carteira média.</t>
  </si>
  <si>
    <t xml:space="preserve">Baixas para prejuízo de 2024</t>
  </si>
  <si>
    <t xml:space="preserve">=-(Dados!B19+DSP!B22-Dados!C19)</t>
  </si>
  <si>
    <t xml:space="preserve">Provisão inicial (68.000) + PDD (46.000) - provisão final (82.000) = 32.000 baixados.</t>
  </si>
  <si>
    <t xml:space="preserve">Estágio 3 ÷ carteira em 2025</t>
  </si>
  <si>
    <t xml:space="preserve">=Dados!D44/BP!C13</t>
  </si>
  <si>
    <t xml:space="preserve">Maior que o NPL 90 (2,9%) porque inclui reestruturados e outros sinais de problema.</t>
  </si>
  <si>
    <t xml:space="preserve">Por que a cobertura caiu?</t>
  </si>
  <si>
    <t xml:space="preserve">Em 2025 o NPL 90 quase dobrou (31.000 para 55.000) e a provisão subiu menos (82.000 para 108.000): cobertura de 265% para 196%. Ainda é confortável, mas a tendência pede atenção, junto com as renegociações (de 41.000 para 62.000).</t>
  </si>
  <si>
    <t xml:space="preserve">Exercício 09: RWA e Índice de Basileia</t>
  </si>
  <si>
    <t xml:space="preserve">Tema: RWA e Basileia | valores em R$ mil, salvo indicação</t>
  </si>
  <si>
    <t xml:space="preserve">Use a aba RWA e as premissas de FPR (ilustrativas). Calcule o RWA e o índice de 2024, o índice de 2025 sem a LFS e o efeito de crescer R$ 200 mi de crédito comercial, pagos com a centralização.</t>
  </si>
  <si>
    <t xml:space="preserve">Dica: RWA de crédito = soma de exposição × FPR. RWA operacional (simplificado) = 15% × média da receita bruta de 3 anos ÷ 8%.</t>
  </si>
  <si>
    <t xml:space="preserve">RWA de crédito de 2024</t>
  </si>
  <si>
    <t xml:space="preserve">=RWA!D18</t>
  </si>
  <si>
    <t xml:space="preserve">Aba RWA: soma de cada exposição × FPR.</t>
  </si>
  <si>
    <t xml:space="preserve">Receita bruta média 2022 a 2024</t>
  </si>
  <si>
    <t xml:space="preserve">=MÉDIA(Dados!B76;Dados!B77;Dados!C75)</t>
  </si>
  <si>
    <t xml:space="preserve">Receita bruta = margem financeira + serviços e tarifas.</t>
  </si>
  <si>
    <t xml:space="preserve">RWA operacional de 2024</t>
  </si>
  <si>
    <t xml:space="preserve">=Dados!B78*C8/Dados!B79</t>
  </si>
  <si>
    <t xml:space="preserve">15% × média ÷ 8%.</t>
  </si>
  <si>
    <t xml:space="preserve">RWA total de 2024</t>
  </si>
  <si>
    <t xml:space="preserve">=C7+C9+Dados!C73</t>
  </si>
  <si>
    <t xml:space="preserve">Crédito + operacional + mercado.</t>
  </si>
  <si>
    <t xml:space="preserve">PR de 2024</t>
  </si>
  <si>
    <t xml:space="preserve">=RWA!D28</t>
  </si>
  <si>
    <t xml:space="preserve">PL - intangível - outros ajustes + LFS (zero em 2024).</t>
  </si>
  <si>
    <t xml:space="preserve">Índice de Basileia de 2024</t>
  </si>
  <si>
    <t xml:space="preserve">=C11/C10</t>
  </si>
  <si>
    <t xml:space="preserve">PR ÷ RWA.</t>
  </si>
  <si>
    <t xml:space="preserve">MM/RWA de 2024</t>
  </si>
  <si>
    <t xml:space="preserve">=(C12-Dados!B80)*100</t>
  </si>
  <si>
    <t xml:space="preserve">Folga sobre a exigência de 10,5%.</t>
  </si>
  <si>
    <t xml:space="preserve">Basileia de 2025 sem a LFS</t>
  </si>
  <si>
    <t xml:space="preserve">=RWA!F26/RWA!F22</t>
  </si>
  <si>
    <t xml:space="preserve">Capital principal ÷ RWA: sem a LFS o índice teria caído.</t>
  </si>
  <si>
    <t xml:space="preserve">Capital consumido por R$ 200 mi de crédito comercial</t>
  </si>
  <si>
    <t xml:space="preserve">=200000*Dados!B92*Dados!B80</t>
  </si>
  <si>
    <t xml:space="preserve">200.000 × 85% × 10,5%.</t>
  </si>
  <si>
    <t xml:space="preserve">Novo RWA de 2025</t>
  </si>
  <si>
    <t xml:space="preserve">=RWA!F22+200000*Dados!B92-200000*Dados!B89</t>
  </si>
  <si>
    <t xml:space="preserve">Entra crédito com FPR 85% e sai centralização com FPR 20%.</t>
  </si>
  <si>
    <t xml:space="preserve">g</t>
  </si>
  <si>
    <t xml:space="preserve">Novo índice de Basileia de 2025</t>
  </si>
  <si>
    <t xml:space="preserve">=RWA!F28/C16</t>
  </si>
  <si>
    <t xml:space="preserve">Mesmo PR, RWA maior.</t>
  </si>
  <si>
    <t xml:space="preserve">A cooperativa está acima da régua (MM/RWA perto de 3,9 p.p. em 2025), mas a folga veio da LFS. Crescer R$ 200 mi de crédito comercial tira cerca de 0,7 p.p. do índice. O PL precisa crescer junto com o RWA, e isso depende de resultado retido.</t>
  </si>
  <si>
    <t xml:space="preserve">Exercício 10: Liquidez de 2024: LCR e indicadores internos</t>
  </si>
  <si>
    <t xml:space="preserve">Tema: Liquidez | valores em R$ mil, salvo indicação</t>
  </si>
  <si>
    <t xml:space="preserve">Com as premissas de estresse de 30 dias das notas, calcule o LCR didático de 2024 e os indicadores internos.</t>
  </si>
  <si>
    <t xml:space="preserve">Dica: Saídas líquidas = saídas - mínimo(entradas; 75% das saídas).</t>
  </si>
  <si>
    <t xml:space="preserve">Ativos líquidos de 2024</t>
  </si>
  <si>
    <t xml:space="preserve">=BP!B6+BP!B9+BP!B7</t>
  </si>
  <si>
    <t xml:space="preserve">Caixa + títulos públicos + centralização (resgatável).</t>
  </si>
  <si>
    <t xml:space="preserve">Saídas em 30 dias de estresse</t>
  </si>
  <si>
    <t xml:space="preserve">=Indicadores!C80</t>
  </si>
  <si>
    <t xml:space="preserve">DV × 15% + poupança × 10% + RDC × 12% + LCA e obrigações que vencem + 5% dos limites + outras saídas.</t>
  </si>
  <si>
    <t xml:space="preserve">Entradas consideradas</t>
  </si>
  <si>
    <t xml:space="preserve">=Indicadores!C81</t>
  </si>
  <si>
    <t xml:space="preserve">50% das parcelas a receber + aplicações que vencem, limitado a 75% das saídas.</t>
  </si>
  <si>
    <t xml:space="preserve">LCR de 2024</t>
  </si>
  <si>
    <t xml:space="preserve">=C7/(C8-C9)</t>
  </si>
  <si>
    <t xml:space="preserve">Ativos líquidos ÷ saídas líquidas.</t>
  </si>
  <si>
    <t xml:space="preserve">Índice de liquidez interno de 2024</t>
  </si>
  <si>
    <t xml:space="preserve">=Dados!C15/(Dados!B83*BP!B28)</t>
  </si>
  <si>
    <t xml:space="preserve">Liquidez total ÷ (30% dos depósitos).</t>
  </si>
  <si>
    <t xml:space="preserve">Crédito ÷ captação de 2024</t>
  </si>
  <si>
    <t xml:space="preserve">=BP!B13/Dados!C25</t>
  </si>
  <si>
    <t xml:space="preserve">Carteira ÷ (depósitos + LCA).</t>
  </si>
  <si>
    <t xml:space="preserve">Liquidez imediata de 2024</t>
  </si>
  <si>
    <t xml:space="preserve">=(BP!B6+BP!B7)/BP!B25</t>
  </si>
  <si>
    <t xml:space="preserve">Quantas vezes o caixa disponível cobre o depósito à vista.</t>
  </si>
  <si>
    <t xml:space="preserve">LCR acima de 400% e índice interno de 1,6: liquidez não é o problema. O ponto é o custo: dinheiro parado rende o CDI e a captação que o financia custa um pouco mais.</t>
  </si>
  <si>
    <t xml:space="preserve">Exercício 11: FTP: quem gera a margem?</t>
  </si>
  <si>
    <t xml:space="preserve">Tema: FTP | valores em R$ mil, salvo indicação</t>
  </si>
  <si>
    <t xml:space="preserve">Use as taxas de transferência (FTP) de 2025 das notas. Calcule a margem de cada captação e responda: vale a pena pagar 105% do CDI no RDC para crescer captação?</t>
  </si>
  <si>
    <t xml:space="preserve">Dica: Margem da captação = saldo médio × FTP - despesa. Margem do crédito = receita - saldo médio × FTP.</t>
  </si>
  <si>
    <t xml:space="preserve">Poupança média de 2025</t>
  </si>
  <si>
    <t xml:space="preserve">=MÉDIA(Dados!C21;Dados!D21)</t>
  </si>
  <si>
    <t xml:space="preserve">Margem FTP da poupança</t>
  </si>
  <si>
    <t xml:space="preserve">=C7*Dados!D105+DSP!C13</t>
  </si>
  <si>
    <t xml:space="preserve">Recebe FTP de 12,0% e paga cerca de 8,3%: margem positiva.</t>
  </si>
  <si>
    <t xml:space="preserve">RDC médio de 2025</t>
  </si>
  <si>
    <t xml:space="preserve">=MÉDIA(Dados!C22;Dados!D22)</t>
  </si>
  <si>
    <t xml:space="preserve">Margem FTP do RDC</t>
  </si>
  <si>
    <t xml:space="preserve">=C9*Dados!D106+DSP!C14</t>
  </si>
  <si>
    <t xml:space="preserve">Recebe 100% do CDI e paga cerca de 101%: margem negativa.</t>
  </si>
  <si>
    <t xml:space="preserve">=-DSP!C14/C9/Dados!D5</t>
  </si>
  <si>
    <t xml:space="preserve">Despesa ÷ saldo médio ÷ CDI.</t>
  </si>
  <si>
    <t xml:space="preserve">Custo a mais com RDC a 105% do CDI</t>
  </si>
  <si>
    <t xml:space="preserve">=C9*Dados!D5*1,05+DSP!C14</t>
  </si>
  <si>
    <t xml:space="preserve">Custo com 105% - custo atual.</t>
  </si>
  <si>
    <t xml:space="preserve">Impacto no ROE (p.p.)</t>
  </si>
  <si>
    <t xml:space="preserve">=-C12/MÉDIA(Dados!C29;Dados!D29)*100</t>
  </si>
  <si>
    <t xml:space="preserve">Custo a mais ÷ PL médio.</t>
  </si>
  <si>
    <t xml:space="preserve">Resultado da tesouraria (ALM)</t>
  </si>
  <si>
    <t xml:space="preserve">=Indicadores!D90</t>
  </si>
  <si>
    <t xml:space="preserve">Margem financeira - soma das margens dos produtos.</t>
  </si>
  <si>
    <t xml:space="preserve">Resposta</t>
  </si>
  <si>
    <t xml:space="preserve">Só vale pagar 105% do CDI se o dinheiro novo for para crédito com taxa que pague esse custo, a provisão e o capital. Se ficar parado na centralização (100% do CDI), cada real captado perde 5% do CDI por ano. O FTP mostra isso produto a produto.</t>
  </si>
  <si>
    <t xml:space="preserve">Exercício 12: RAROC e taxa mínima de uma operação</t>
  </si>
  <si>
    <t xml:space="preserve">Tema: RAROC | valores em R$ mil, salvo indicação</t>
  </si>
  <si>
    <t xml:space="preserve">Operação PJ de R$ 500 mil por 1 ano: taxa de 21% a.a., FTP de 15%, custo operacional de 2,5% a.a., PD de 3%, LGD de 45%, FPR de 100%, capital alocado de 12,5% do RWA. O capital alocado é remunerado pela FTP. A meta (hurdle) é RAROC de 15%.</t>
  </si>
  <si>
    <t xml:space="preserve">Dica: Perda esperada = valor × PD × LGD. RAROC = (receita - FTP - custo operacional - perda esperada + crédito do capital) ÷ capital alocado.</t>
  </si>
  <si>
    <t xml:space="preserve">Valor da operação</t>
  </si>
  <si>
    <t xml:space="preserve">Dado do enunciado.</t>
  </si>
  <si>
    <t xml:space="preserve">Perda esperada = valor × PD × LGD</t>
  </si>
  <si>
    <t xml:space="preserve">=C7*3%*45%</t>
  </si>
  <si>
    <t xml:space="preserve">500 × 3% × 45% = 6,75.</t>
  </si>
  <si>
    <t xml:space="preserve">Capital alocado = valor × FPR × 12,5%</t>
  </si>
  <si>
    <t xml:space="preserve">=C7*100%*12,5%</t>
  </si>
  <si>
    <t xml:space="preserve">500 × 100% × 12,5% = 62,5.</t>
  </si>
  <si>
    <t xml:space="preserve">Receita de juros (21%)</t>
  </si>
  <si>
    <t xml:space="preserve">=C7*21%</t>
  </si>
  <si>
    <t xml:space="preserve">(-) Custo de transferência (FTP 15%)</t>
  </si>
  <si>
    <t xml:space="preserve">=-C7*15%</t>
  </si>
  <si>
    <t xml:space="preserve">O que a tesouraria cobra pelo dinheiro.</t>
  </si>
  <si>
    <t xml:space="preserve">(-) Custo operacional (2,5%)</t>
  </si>
  <si>
    <t xml:space="preserve">=-C7*2,5%</t>
  </si>
  <si>
    <t xml:space="preserve">=C9*15%</t>
  </si>
  <si>
    <t xml:space="preserve">A parte financiada com capital não paga juros.</t>
  </si>
  <si>
    <t xml:space="preserve">Resultado ajustado ao risco</t>
  </si>
  <si>
    <t xml:space="preserve">=C10+C11+C12-C8+C13</t>
  </si>
  <si>
    <t xml:space="preserve">Receita - FTP - custo - PE + crédito do capital.</t>
  </si>
  <si>
    <t xml:space="preserve">=C14/C9</t>
  </si>
  <si>
    <t xml:space="preserve">Resultado ajustado ÷ capital alocado.</t>
  </si>
  <si>
    <t xml:space="preserve">Taxa mínima para RAROC de 15%</t>
  </si>
  <si>
    <t xml:space="preserve">=(15%*C9-C11-C12+C8-C13)/C7</t>
  </si>
  <si>
    <t xml:space="preserve">Isola a taxa: taxa × valor = 15% × capital + FTP + custo + PE - crédito do capital.</t>
  </si>
  <si>
    <t xml:space="preserve">A 21% a operação cria valor (RAROC de 32%). A taxa mínima é 18,85%: abaixo dela, a cooperativa remunera o capital do associado abaixo do custo de capital.</t>
  </si>
  <si>
    <t xml:space="preserve">Exercício 13: Captação: mix e custo por produto</t>
  </si>
  <si>
    <t xml:space="preserve">Tema: Captação | valores em R$ mil, salvo indicação</t>
  </si>
  <si>
    <t xml:space="preserve">Calcule o mix de captação de 2025 e o custo implícito de cada produto. Depois calcule quanto custa por ano a migração de R$ 50 mi de depósito à vista para RDC a 101% do CDI.</t>
  </si>
  <si>
    <t xml:space="preserve">Dica: Custo implícito = despesa do produto ÷ saldo médio do produto.</t>
  </si>
  <si>
    <t xml:space="preserve">Depósito à vista ÷ captação 2025</t>
  </si>
  <si>
    <t xml:space="preserve">=BP!C25/Dados!D25</t>
  </si>
  <si>
    <t xml:space="preserve">DV ÷ (depósitos + LCA).</t>
  </si>
  <si>
    <t xml:space="preserve">RDC ÷ captação 2025</t>
  </si>
  <si>
    <t xml:space="preserve">=BP!C27/Dados!D25</t>
  </si>
  <si>
    <t xml:space="preserve">Custo implícito da poupança</t>
  </si>
  <si>
    <t xml:space="preserve">=-DSP!C13/MÉDIA(Dados!C21;Dados!D21)</t>
  </si>
  <si>
    <t xml:space="preserve">Despesa ÷ saldo médio.</t>
  </si>
  <si>
    <t xml:space="preserve">Custo implícito da LCA</t>
  </si>
  <si>
    <t xml:space="preserve">=-DSP!C15/MÉDIA(Dados!C24;Dados!D24)</t>
  </si>
  <si>
    <t xml:space="preserve">Custo da LCA em % do CDI</t>
  </si>
  <si>
    <t xml:space="preserve">=C10/Dados!D5</t>
  </si>
  <si>
    <t xml:space="preserve">LCA é isenta de IR para PF: paga menos que o CDI.</t>
  </si>
  <si>
    <t xml:space="preserve">Custo anual da migração de R$ 50 mi de DV para RDC</t>
  </si>
  <si>
    <t xml:space="preserve">=50000*Dados!D5*1,01</t>
  </si>
  <si>
    <t xml:space="preserve">50.000 × 14,3% × 101%: o DV não custava nada.</t>
  </si>
  <si>
    <t xml:space="preserve">Perder depósito à vista é a forma mais silenciosa de perder margem: R$ 50 mi migrando custam R$ 7,2 mi por ano, cerca de 13% do resultado.</t>
  </si>
  <si>
    <t xml:space="preserve">Exercício 14: Patrimônio líquido e destinação das sobras</t>
  </si>
  <si>
    <t xml:space="preserve">Tema: PL | valores em R$ mil, salvo indicação</t>
  </si>
  <si>
    <t xml:space="preserve">Use a DMPL de 2025 nas notas. Refaça o capital social e o PL de 31/12/2025 e analise a qualidade do capital.</t>
  </si>
  <si>
    <t xml:space="preserve">Dica: PL final = PL inicial + integralizações - devoluções + resultado - FATES - sobras distribuídas +/- ajustes. Juros ao capital incorporados entram no capital e saem do resultado: efeito zero no PL.</t>
  </si>
  <si>
    <t xml:space="preserve">Capital social em 31/12/2025</t>
  </si>
  <si>
    <t xml:space="preserve">=DMPL!B16</t>
  </si>
  <si>
    <t xml:space="preserve">130.000 + 14.000 integralizações - 9.000 devoluções + 12.270 sobras capitalizadas + 12.600 juros ao capital incorporados.</t>
  </si>
  <si>
    <t xml:space="preserve">PL em 31/12/2025</t>
  </si>
  <si>
    <t xml:space="preserve">=DMPL!F16</t>
  </si>
  <si>
    <t xml:space="preserve">Soma de todas as mutações. Confere com o BP.</t>
  </si>
  <si>
    <t xml:space="preserve">Capital médio de 2025</t>
  </si>
  <si>
    <t xml:space="preserve">=MÉDIA(Dados!C30;Dados!D30)</t>
  </si>
  <si>
    <t xml:space="preserve">Juros ao capital em % do CDI</t>
  </si>
  <si>
    <t xml:space="preserve">=-DSP!C40/(C9*Dados!D5)</t>
  </si>
  <si>
    <t xml:space="preserve">Juros pagos ÷ (capital médio × CDI).</t>
  </si>
  <si>
    <t xml:space="preserve">R$</t>
  </si>
  <si>
    <t xml:space="preserve">=BP!C39*1000/Dados!D58</t>
  </si>
  <si>
    <t xml:space="preserve">R$ mil × 1.000 ÷ número de associados.</t>
  </si>
  <si>
    <t xml:space="preserve">=BP!C39/BP!C43</t>
  </si>
  <si>
    <t xml:space="preserve">Parte do PL que pode sair com resgate de quotas.</t>
  </si>
  <si>
    <t xml:space="preserve">Crescimento do PL - crescimento do RWA (p.p.)</t>
  </si>
  <si>
    <t xml:space="preserve">=(Dados!D29/Dados!C29-RWA!F22/RWA!D22)*100</t>
  </si>
  <si>
    <t xml:space="preserve">Negativo: o risco cresceu um pouco mais rápido que o capital.</t>
  </si>
  <si>
    <t xml:space="preserve">Quase metade do PL é quota, que pode sair. As reservas são o capital estável. Para sustentar o crescimento, a cooperativa depende de reter sobras; distribuir em conta corrente ajuda o associado hoje, mas não fortalece o capital.</t>
  </si>
  <si>
    <t xml:space="preserve">Exercício 15: Estudo de caso: o parecer da Coop Vale do Ipê</t>
  </si>
  <si>
    <t xml:space="preserve">Resposta modelo. Escreva o seu antes de ler.</t>
  </si>
  <si>
    <t xml:space="preserve">Escreva um parecer de uma página sobre a Coop Vale do Ipê, seguindo o roteiro de 10 passos. Responda: a cooperativa está saudável? O que melhorou, o que piorou, quais são os três riscos principais e quais as três recomendações para a diretoria? Compare depois com o parecer modelo (no HTML e na aba Ex15).</t>
  </si>
  <si>
    <t xml:space="preserve">1. Conclusão</t>
  </si>
  <si>
    <t xml:space="preserve">A Coop Vale do Ipê é saudável, líquida e capitalizada acima do mínimo, mas a rentabilidade recorrente caiu forte em 2025 (ROE recorrente de 20,7% para 13,6%) e ficou abaixo do custo de capital de ~15%. A piora vem de três lugares: margem comprimida pelo CDI, risco de crédito subindo e captação mais cara.</t>
  </si>
  <si>
    <t xml:space="preserve">2. Tamanho e crescimento</t>
  </si>
  <si>
    <t xml:space="preserve">Ativo de R$ 3.086.080 mil (+13,6%). Carteira de R$ 1.870.000 mil (+14,0%, 9,1% real). Crescimento equilibrado entre comercial (+14,3%) e rural (+13,5%).</t>
  </si>
  <si>
    <t xml:space="preserve">3. Captação</t>
  </si>
  <si>
    <t xml:space="preserve">Captação de R$ 2.315.000 mil (+12,9%). O mix piorou: depósito à vista caiu para 17,7% e RDC subiu para 65,7%. O RDC custa 101,0% do CDI e tem margem FTP negativa.</t>
  </si>
  <si>
    <t xml:space="preserve">4. Margem e spread</t>
  </si>
  <si>
    <t xml:space="preserve">Margem financeira de R$ 204.800 mil (+6,0%), mas o NIM caiu de 7,57% para 7,06% e o spread de crédito de 10,3 para 8,6 p.p. Motivo: captação reprecifica com o CDI na hora; a carteira pré, só no vencimento.</t>
  </si>
  <si>
    <t xml:space="preserve">5. Eficiência</t>
  </si>
  <si>
    <t xml:space="preserve">IE contábil estável (58,5% para 59,1%), mas o recorrente piorou (57,5% para 59,8%). O IEAR subiu de 75,1% para 80,5%: o risco pesa mais que o custo.</t>
  </si>
  <si>
    <t xml:space="preserve">6. Crédito</t>
  </si>
  <si>
    <t xml:space="preserve">NPL 90 subiu de 1,89% para 2,94%, a inadimplência de 15 a 90 dias também subiu e as renegociações cresceram 51%. Cobertura caiu de 265% para 196%. Custo do risco de 2,98% para 3,65% da carteira.</t>
  </si>
  <si>
    <t xml:space="preserve">7. Capital</t>
  </si>
  <si>
    <t xml:space="preserve">Basileia de 13,81% para 14,39% (MM/RWA de 3,89 p.p.), mas sem a LFS seria 13,79%. O PL cresceu 14,3% e o RWA 14,5%. Potencial de crédito até o piso de 2 p.p.: cerca de R$ 340.533 mil.</t>
  </si>
  <si>
    <t xml:space="preserve">8. Liquidez</t>
  </si>
  <si>
    <t xml:space="preserve">Folgada: índice interno de 1,62x, LCR didático de 430%, crédito/captação de 80,8%. Não é restrição; o excesso tem custo de carregamento.</t>
  </si>
  <si>
    <t xml:space="preserve">9. Resultado recorrente</t>
  </si>
  <si>
    <t xml:space="preserve">Resultado de R$ 53.700 mil inclui R$ 9.200 mil não recorrentes (venda de imóvel, reversão de contingência, recuperação extraordinária). Recorrente: R$ 44.500 mil, queda de 26,7% contra 2024.</t>
  </si>
  <si>
    <t xml:space="preserve">10. Três riscos</t>
  </si>
  <si>
    <t xml:space="preserve">(1) Risco de crédito em alta (NPL, estágio 3 e renegociações subindo juntos). (2) Margem: dependência crescente de RDC caro com carteira pré. (3) Capital: se o resultado recorrente continuar caindo, o PL deixa de acompanhar o RWA e a folga some.</t>
  </si>
  <si>
    <t xml:space="preserve">11. Três recomendações</t>
  </si>
  <si>
    <t xml:space="preserve">(1) Rever a política de concessão e a cobrança das safras de 2024 e 2025, e acompanhar o estágio 2 todo mês. (2) Precificar o crédito novo pelo RAROC (taxa mínima por produto) e evitar pagar acima de 100% do CDI em RDC sem destino em crédito. (3) Priorizar retenção de sobras em reserva na AGO e planejar a substituição da LFS por capital próprio.</t>
  </si>
  <si>
    <t xml:space="preserve">Gabarito: todas as respostas numéricas</t>
  </si>
  <si>
    <t xml:space="preserve">Cada resposta é um link para a célula da aba do exercício</t>
  </si>
  <si>
    <t xml:space="preserve">Exercício</t>
  </si>
  <si>
    <t xml:space="preserve">Pergunta</t>
  </si>
  <si>
    <t xml:space="preserve">Ex02</t>
  </si>
  <si>
    <t xml:space="preserve">Depósitos a prazo (RDC) ÷ passivo + PL, em 2024</t>
  </si>
  <si>
    <t xml:space="preserve">Depósitos a prazo (RDC) ÷ passivo + PL, em 2025</t>
  </si>
  <si>
    <t xml:space="preserve">Depósitos à vista ÷ passivo + PL, em 2024</t>
  </si>
  <si>
    <t xml:space="preserve">Depósitos à vista ÷ passivo + PL, em 2025</t>
  </si>
  <si>
    <t xml:space="preserve">PL ÷ passivo + PL, em 2025</t>
  </si>
  <si>
    <t xml:space="preserve">Captação com associados (depósitos + LCA) ÷ passivo + PL, em 2025</t>
  </si>
  <si>
    <t xml:space="preserve">Ex03</t>
  </si>
  <si>
    <t xml:space="preserve">AH da receita de operações de crédito</t>
  </si>
  <si>
    <t xml:space="preserve">AH da despesa de captação (operações de captação no mercado)</t>
  </si>
  <si>
    <t xml:space="preserve">AH da margem financeira (visão gerencial)</t>
  </si>
  <si>
    <t xml:space="preserve">AH da despesa de provisão para perdas (PDD)</t>
  </si>
  <si>
    <t xml:space="preserve">AH do resultado antes dos juros ao capital</t>
  </si>
  <si>
    <t xml:space="preserve">Ex04</t>
  </si>
  <si>
    <t xml:space="preserve">NIM de 2024 (margem ÷ ativo médio de 2023 e 2024)</t>
  </si>
  <si>
    <t xml:space="preserve">Variação do NIM de 2024 para 2025, em pontos percentuais</t>
  </si>
  <si>
    <t xml:space="preserve">Ex05</t>
  </si>
  <si>
    <t xml:space="preserve">Taxa média da carteira de crédito (receita de crédito ÷ carteira média)</t>
  </si>
  <si>
    <t xml:space="preserve">Custo médio da captação, incluindo o depósito à vista a custo zero</t>
  </si>
  <si>
    <t xml:space="preserve">Spread de crédito (a - b), em pontos percentuais</t>
  </si>
  <si>
    <t xml:space="preserve">Custo médio só dos passivos onerosos (sem o depósito à vista)</t>
  </si>
  <si>
    <t xml:space="preserve">Ex06</t>
  </si>
  <si>
    <t xml:space="preserve">ROE contábil de 2024</t>
  </si>
  <si>
    <t xml:space="preserve">Resultado recorrente de 2024 (R$ mil)</t>
  </si>
  <si>
    <t xml:space="preserve">ROE recorrente de 2024</t>
  </si>
  <si>
    <t xml:space="preserve">Margem: resultado ÷ receita líquida</t>
  </si>
  <si>
    <t xml:space="preserve">Giro: receita líquida ÷ ativo médio</t>
  </si>
  <si>
    <t xml:space="preserve">Alavancagem: ativo médio ÷ PL médio</t>
  </si>
  <si>
    <t xml:space="preserve">Ex07</t>
  </si>
  <si>
    <t xml:space="preserve">IE recorrente de 2025 (sem a reversão de contingência na receita)</t>
  </si>
  <si>
    <t xml:space="preserve">Corte de despesas administrativas em 2025 para o IE recorrente voltar ao IE recorrente de 2024 (R$ mil)</t>
  </si>
  <si>
    <t xml:space="preserve">Ex08</t>
  </si>
  <si>
    <t xml:space="preserve">Inadimplência acima de 90 dias (NPL 90) em 2024</t>
  </si>
  <si>
    <t xml:space="preserve">Inadimplência de 15 a 90 dias em 2024 (sinal antecedente)</t>
  </si>
  <si>
    <t xml:space="preserve">Cobertura: provisão ÷ carteira vencida há mais de 90 dias, 2024</t>
  </si>
  <si>
    <t xml:space="preserve">Custo do risco: despesa de PDD ÷ carteira média, 2024</t>
  </si>
  <si>
    <t xml:space="preserve">Baixas para prejuízo em 2024 (R$ mil), pela movimentação da provisão</t>
  </si>
  <si>
    <t xml:space="preserve">Participação do estágio 3 na carteira em 2025</t>
  </si>
  <si>
    <t xml:space="preserve">Ex09</t>
  </si>
  <si>
    <t xml:space="preserve">RWA de risco de crédito de 2024 (R$ mil)</t>
  </si>
  <si>
    <t xml:space="preserve">RWA de risco operacional de 2024 (R$ mil)</t>
  </si>
  <si>
    <t xml:space="preserve">MM/RWA de 2024 (folga sobre 10,5%, em p.p.)</t>
  </si>
  <si>
    <t xml:space="preserve">Índice de Basileia de 2025 sem a LFS</t>
  </si>
  <si>
    <t xml:space="preserve">Capital mínimo (10,5%) consumido por R$ 200 mi de crédito comercial com FPR 85% (R$ mil)</t>
  </si>
  <si>
    <t xml:space="preserve">Novo índice de Basileia de 2025 com esse crédito (sai da centralização, FPR 20%)</t>
  </si>
  <si>
    <t xml:space="preserve">Ex10</t>
  </si>
  <si>
    <t xml:space="preserve">Ativos líquidos de alta qualidade (caixa + TVM + centralização), 2024 (R$ mil)</t>
  </si>
  <si>
    <t xml:space="preserve">Saídas de caixa no estresse de 30 dias (R$ mil)</t>
  </si>
  <si>
    <t xml:space="preserve">LCR de 2024 (ativos líquidos ÷ saídas líquidas)</t>
  </si>
  <si>
    <t xml:space="preserve">Índice de liquidez interno: liquidez ÷ (30% dos depósitos)</t>
  </si>
  <si>
    <t xml:space="preserve">Crédito ÷ captação (depósitos + LCA)</t>
  </si>
  <si>
    <t xml:space="preserve">Liquidez imediata: (caixa + centralização) ÷ depósitos à vista</t>
  </si>
  <si>
    <t xml:space="preserve">Ex11</t>
  </si>
  <si>
    <t xml:space="preserve">Margem FTP da poupança em 2025 (R$ mil)</t>
  </si>
  <si>
    <t xml:space="preserve">Margem FTP do RDC em 2025 (R$ mil)</t>
  </si>
  <si>
    <t xml:space="preserve">Custo implícito do RDC em % do CDI de 2025</t>
  </si>
  <si>
    <t xml:space="preserve">Custo anual a mais se todo o RDC médio pagasse 105% do CDI (R$ mil)</t>
  </si>
  <si>
    <t xml:space="preserve">Impacto desse custo no ROE de 2025, em p.p.</t>
  </si>
  <si>
    <t xml:space="preserve">Resultado da tesouraria (ALM) que fecha a margem financeira de 2025 (R$ mil)</t>
  </si>
  <si>
    <t xml:space="preserve">Ex12</t>
  </si>
  <si>
    <t xml:space="preserve">Perda esperada (R$ mil)</t>
  </si>
  <si>
    <t xml:space="preserve">Capital alocado (R$ mil)</t>
  </si>
  <si>
    <t xml:space="preserve">Resultado ajustado ao risco (R$ mil)</t>
  </si>
  <si>
    <t xml:space="preserve">RAROC da operação</t>
  </si>
  <si>
    <t xml:space="preserve">Taxa mínima para o RAROC chegar a 15%</t>
  </si>
  <si>
    <t xml:space="preserve">Ex13</t>
  </si>
  <si>
    <t xml:space="preserve">Depósito à vista no total da captação de 2025</t>
  </si>
  <si>
    <t xml:space="preserve">RDC no total da captação de 2025</t>
  </si>
  <si>
    <t xml:space="preserve">Custo implícito da poupança em 2025</t>
  </si>
  <si>
    <t xml:space="preserve">Custo implícito da LCA em % do CDI</t>
  </si>
  <si>
    <t xml:space="preserve">Custo anual da migração de R$ 50 mi de DV para RDC a 101% do CDI (R$ mil)</t>
  </si>
  <si>
    <t xml:space="preserve">Ex14</t>
  </si>
  <si>
    <t xml:space="preserve">Capital social em 31/12/2025 (R$ mil)</t>
  </si>
  <si>
    <t xml:space="preserve">PL em 31/12/2025 (R$ mil)</t>
  </si>
  <si>
    <t xml:space="preserve">Juros ao capital de 2025 em % do CDI (sobre o capital médio)</t>
  </si>
  <si>
    <t xml:space="preserve">Capital social por associado em 2025 (R$)</t>
  </si>
  <si>
    <t xml:space="preserve">Capital social ÷ PL em 2025</t>
  </si>
  <si>
    <t xml:space="preserve">Crescimento do PL menos crescimento do RWA em 2025, em p.p.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</si>
</sst>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-0.0%;\-"/>
    <numFmt numFmtId="167" formatCode="0.00%;\-0.00%;\-"/>
    <numFmt numFmtId="168" formatCode="#,##0"/>
    <numFmt numFmtId="169" formatCode="0%"/>
    <numFmt numFmtId="170" formatCode="0.00&quot; p.p.&quot;;\-0.00&quot; p.p.&quot;;\-"/>
    <numFmt numFmtId="171" formatCode="0.00\x"/>
    <numFmt numFmtId="172" formatCode="&quot;R$ &quot;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5A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A"/>
        <bgColor rgb="FF404040"/>
      </patternFill>
    </fill>
    <fill>
      <patternFill patternType="solid">
        <fgColor rgb="FFD9E7EA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0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7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A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  <col collapsed="false" customWidth="true" hidden="false" outlineLevel="0" max="3" min="3" style="0" width="4"/>
  </cols>
  <sheetData>
    <row r="1" customFormat="false" ht="16.15" hidden="false" customHeight="false" outlineLevel="0" collapsed="false">
      <c r="A1" s="1" t="s">
        <v>0</v>
      </c>
      <c r="B1" s="2"/>
      <c r="C1" s="2"/>
    </row>
    <row r="3" customFormat="false" ht="48" hidden="false" customHeight="true" outlineLevel="0" collapsed="false">
      <c r="A3" s="3" t="s">
        <v>1</v>
      </c>
      <c r="B3" s="4" t="s">
        <v>2</v>
      </c>
    </row>
    <row r="4" customFormat="false" ht="48" hidden="false" customHeight="true" outlineLevel="0" collapsed="false">
      <c r="A4" s="3" t="s">
        <v>3</v>
      </c>
      <c r="B4" s="4" t="s">
        <v>4</v>
      </c>
    </row>
    <row r="5" customFormat="false" ht="48" hidden="false" customHeight="true" outlineLevel="0" collapsed="false">
      <c r="A5" s="3" t="s">
        <v>5</v>
      </c>
      <c r="B5" s="4" t="s">
        <v>6</v>
      </c>
    </row>
    <row r="6" customFormat="false" ht="48" hidden="false" customHeight="true" outlineLevel="0" collapsed="false">
      <c r="A6" s="3" t="s">
        <v>7</v>
      </c>
      <c r="B6" s="4" t="s">
        <v>8</v>
      </c>
    </row>
    <row r="7" customFormat="false" ht="48" hidden="false" customHeight="true" outlineLevel="0" collapsed="false">
      <c r="A7" s="3" t="s">
        <v>9</v>
      </c>
      <c r="B7" s="4" t="s">
        <v>10</v>
      </c>
    </row>
    <row r="8" customFormat="false" ht="48" hidden="false" customHeight="true" outlineLevel="0" collapsed="false">
      <c r="A8" s="3" t="s">
        <v>11</v>
      </c>
      <c r="B8" s="4" t="s">
        <v>12</v>
      </c>
    </row>
    <row r="9" customFormat="false" ht="48" hidden="false" customHeight="true" outlineLevel="0" collapsed="false">
      <c r="A9" s="3" t="s">
        <v>13</v>
      </c>
      <c r="B9" s="4" t="s">
        <v>14</v>
      </c>
    </row>
    <row r="10" customFormat="false" ht="48" hidden="false" customHeight="true" outlineLevel="0" collapsed="false">
      <c r="A10" s="3" t="s">
        <v>15</v>
      </c>
      <c r="B10" s="4" t="s">
        <v>16</v>
      </c>
    </row>
    <row r="11" customFormat="false" ht="48" hidden="false" customHeight="true" outlineLevel="0" collapsed="false">
      <c r="A11" s="3" t="s">
        <v>17</v>
      </c>
      <c r="B1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90"/>
  </cols>
  <sheetData>
    <row r="1" customFormat="false" ht="16.15" hidden="false" customHeight="false" outlineLevel="0" collapsed="false">
      <c r="A1" s="1" t="s">
        <v>19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20</v>
      </c>
    </row>
    <row r="4" customFormat="false" ht="23.85" hidden="false" customHeight="fals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</row>
    <row r="5" customFormat="false" ht="15" hidden="false" customHeight="false" outlineLevel="0" collapsed="false">
      <c r="A5" s="7" t="s">
        <v>29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0" collapsed="false">
      <c r="A6" s="8" t="s">
        <v>30</v>
      </c>
      <c r="B6" s="9" t="n">
        <v>28000</v>
      </c>
      <c r="C6" s="9" t="n">
        <v>31000</v>
      </c>
      <c r="D6" s="10" t="n">
        <f aca="false">IFERROR(B6/B$23,0)</f>
        <v>0.0103034361959714</v>
      </c>
      <c r="E6" s="10" t="n">
        <f aca="false">IFERROR(C6/C$23,0)</f>
        <v>0.0100451057652426</v>
      </c>
      <c r="F6" s="11" t="n">
        <f aca="false">IFERROR(C6/B6-1,"n.a.")</f>
        <v>0.107142857142857</v>
      </c>
      <c r="G6" s="12" t="n">
        <f aca="false">C6-B6</f>
        <v>3000</v>
      </c>
      <c r="H6" s="13" t="s">
        <v>31</v>
      </c>
    </row>
    <row r="7" customFormat="false" ht="15" hidden="false" customHeight="false" outlineLevel="0" collapsed="false">
      <c r="A7" s="8" t="s">
        <v>32</v>
      </c>
      <c r="B7" s="9" t="n">
        <v>695540</v>
      </c>
      <c r="C7" s="9" t="n">
        <v>789080</v>
      </c>
      <c r="D7" s="10" t="n">
        <f aca="false">IFERROR(B7/B$23,0)</f>
        <v>0.255944714705211</v>
      </c>
      <c r="E7" s="10" t="n">
        <f aca="false">IFERROR(C7/C$23,0)</f>
        <v>0.255690066362505</v>
      </c>
      <c r="F7" s="11" t="n">
        <f aca="false">IFERROR(C7/B7-1,"n.a.")</f>
        <v>0.134485435776519</v>
      </c>
      <c r="G7" s="12" t="n">
        <f aca="false">C7-B7</f>
        <v>93540</v>
      </c>
      <c r="H7" s="13" t="s">
        <v>33</v>
      </c>
    </row>
    <row r="8" customFormat="false" ht="15" hidden="false" customHeight="false" outlineLevel="0" collapsed="false">
      <c r="A8" s="8" t="s">
        <v>34</v>
      </c>
      <c r="B8" s="9" t="n">
        <v>60000</v>
      </c>
      <c r="C8" s="9" t="n">
        <v>85000</v>
      </c>
      <c r="D8" s="10" t="n">
        <f aca="false">IFERROR(B8/B$23,0)</f>
        <v>0.0220787918485101</v>
      </c>
      <c r="E8" s="10" t="n">
        <f aca="false">IFERROR(C8/C$23,0)</f>
        <v>0.0275430319369556</v>
      </c>
      <c r="F8" s="11" t="n">
        <f aca="false">IFERROR(C8/B8-1,"n.a.")</f>
        <v>0.416666666666667</v>
      </c>
      <c r="G8" s="12" t="n">
        <f aca="false">C8-B8</f>
        <v>25000</v>
      </c>
      <c r="H8" s="13" t="s">
        <v>35</v>
      </c>
    </row>
    <row r="9" customFormat="false" ht="15" hidden="false" customHeight="false" outlineLevel="0" collapsed="false">
      <c r="A9" s="8" t="s">
        <v>36</v>
      </c>
      <c r="B9" s="9" t="n">
        <v>140000</v>
      </c>
      <c r="C9" s="9" t="n">
        <v>150000</v>
      </c>
      <c r="D9" s="10" t="n">
        <f aca="false">IFERROR(B9/B$23,0)</f>
        <v>0.0515171809798568</v>
      </c>
      <c r="E9" s="10" t="n">
        <f aca="false">IFERROR(C9/C$23,0)</f>
        <v>0.0486053504769805</v>
      </c>
      <c r="F9" s="11" t="n">
        <f aca="false">IFERROR(C9/B9-1,"n.a.")</f>
        <v>0.0714285714285714</v>
      </c>
      <c r="G9" s="12" t="n">
        <f aca="false">C9-B9</f>
        <v>10000</v>
      </c>
      <c r="H9" s="13" t="s">
        <v>37</v>
      </c>
    </row>
    <row r="10" customFormat="false" ht="15" hidden="false" customHeight="false" outlineLevel="0" collapsed="false">
      <c r="A10" s="8" t="s">
        <v>38</v>
      </c>
      <c r="B10" s="9" t="n">
        <v>830000</v>
      </c>
      <c r="C10" s="9" t="n">
        <v>940000</v>
      </c>
      <c r="D10" s="10" t="n">
        <f aca="false">IFERROR(B10/B$23,0)</f>
        <v>0.305423287237722</v>
      </c>
      <c r="E10" s="10" t="n">
        <f aca="false">IFERROR(C10/C$23,0)</f>
        <v>0.304593529655745</v>
      </c>
      <c r="F10" s="11" t="n">
        <f aca="false">IFERROR(C10/B10-1,"n.a.")</f>
        <v>0.132530120481928</v>
      </c>
      <c r="G10" s="12" t="n">
        <f aca="false">C10-B10</f>
        <v>110000</v>
      </c>
      <c r="H10" s="13" t="s">
        <v>39</v>
      </c>
    </row>
    <row r="11" customFormat="false" ht="15" hidden="false" customHeight="false" outlineLevel="0" collapsed="false">
      <c r="A11" s="8" t="s">
        <v>40</v>
      </c>
      <c r="B11" s="9" t="n">
        <v>290000</v>
      </c>
      <c r="C11" s="9" t="n">
        <v>340000</v>
      </c>
      <c r="D11" s="10" t="n">
        <f aca="false">IFERROR(B11/B$23,0)</f>
        <v>0.106714160601132</v>
      </c>
      <c r="E11" s="10" t="n">
        <f aca="false">IFERROR(C11/C$23,0)</f>
        <v>0.110172127747822</v>
      </c>
      <c r="F11" s="11" t="n">
        <f aca="false">IFERROR(C11/B11-1,"n.a.")</f>
        <v>0.172413793103448</v>
      </c>
      <c r="G11" s="12" t="n">
        <f aca="false">C11-B11</f>
        <v>50000</v>
      </c>
      <c r="H11" s="13" t="s">
        <v>41</v>
      </c>
    </row>
    <row r="12" customFormat="false" ht="15" hidden="false" customHeight="false" outlineLevel="0" collapsed="false">
      <c r="A12" s="8" t="s">
        <v>42</v>
      </c>
      <c r="B12" s="9" t="n">
        <v>520000</v>
      </c>
      <c r="C12" s="9" t="n">
        <v>590000</v>
      </c>
      <c r="D12" s="10" t="n">
        <f aca="false">IFERROR(B12/B$23,0)</f>
        <v>0.191349529353754</v>
      </c>
      <c r="E12" s="10" t="n">
        <f aca="false">IFERROR(C12/C$23,0)</f>
        <v>0.191181045209457</v>
      </c>
      <c r="F12" s="11" t="n">
        <f aca="false">IFERROR(C12/B12-1,"n.a.")</f>
        <v>0.134615384615385</v>
      </c>
      <c r="G12" s="12" t="n">
        <f aca="false">C12-B12</f>
        <v>70000</v>
      </c>
      <c r="H12" s="13" t="s">
        <v>43</v>
      </c>
    </row>
    <row r="13" customFormat="false" ht="15" hidden="false" customHeight="false" outlineLevel="0" collapsed="false">
      <c r="A13" s="14" t="s">
        <v>44</v>
      </c>
      <c r="B13" s="15" t="n">
        <f aca="false">B10+B11+B12</f>
        <v>1640000</v>
      </c>
      <c r="C13" s="15" t="n">
        <f aca="false">C10+C11+C12</f>
        <v>1870000</v>
      </c>
      <c r="D13" s="16" t="n">
        <f aca="false">IFERROR(B13/B$23,0)</f>
        <v>0.603486977192608</v>
      </c>
      <c r="E13" s="16" t="n">
        <f aca="false">IFERROR(C13/C$23,0)</f>
        <v>0.605946702613024</v>
      </c>
      <c r="F13" s="17" t="n">
        <f aca="false">IFERROR(C13/B13-1,"n.a.")</f>
        <v>0.140243902439024</v>
      </c>
      <c r="G13" s="15" t="n">
        <f aca="false">C13-B13</f>
        <v>230000</v>
      </c>
      <c r="H13" s="18" t="s">
        <v>45</v>
      </c>
    </row>
    <row r="14" customFormat="false" ht="15" hidden="false" customHeight="false" outlineLevel="0" collapsed="false">
      <c r="A14" s="8" t="s">
        <v>46</v>
      </c>
      <c r="B14" s="9" t="n">
        <v>-82000</v>
      </c>
      <c r="C14" s="9" t="n">
        <v>-108000</v>
      </c>
      <c r="D14" s="10" t="n">
        <f aca="false">IFERROR(B14/B$23,0)</f>
        <v>-0.0301743488596304</v>
      </c>
      <c r="E14" s="10" t="n">
        <f aca="false">IFERROR(C14/C$23,0)</f>
        <v>-0.034995852343426</v>
      </c>
      <c r="F14" s="11" t="n">
        <f aca="false">IFERROR(C14/B14-1,"n.a.")</f>
        <v>0.317073170731707</v>
      </c>
      <c r="G14" s="12" t="n">
        <f aca="false">C14-B14</f>
        <v>-26000</v>
      </c>
      <c r="H14" s="13" t="s">
        <v>47</v>
      </c>
    </row>
    <row r="15" customFormat="false" ht="15" hidden="false" customHeight="false" outlineLevel="0" collapsed="false">
      <c r="A15" s="14" t="s">
        <v>48</v>
      </c>
      <c r="B15" s="15" t="n">
        <f aca="false">B13+B14</f>
        <v>1558000</v>
      </c>
      <c r="C15" s="15" t="n">
        <f aca="false">C13+C14</f>
        <v>1762000</v>
      </c>
      <c r="D15" s="16" t="n">
        <f aca="false">IFERROR(B15/B$23,0)</f>
        <v>0.573312628332978</v>
      </c>
      <c r="E15" s="16" t="n">
        <f aca="false">IFERROR(C15/C$23,0)</f>
        <v>0.570950850269598</v>
      </c>
      <c r="F15" s="17" t="n">
        <f aca="false">IFERROR(C15/B15-1,"n.a.")</f>
        <v>0.130937098844673</v>
      </c>
      <c r="G15" s="15" t="n">
        <f aca="false">C15-B15</f>
        <v>204000</v>
      </c>
      <c r="H15" s="18" t="s">
        <v>49</v>
      </c>
    </row>
    <row r="16" customFormat="false" ht="15" hidden="false" customHeight="false" outlineLevel="0" collapsed="false">
      <c r="A16" s="8" t="s">
        <v>50</v>
      </c>
      <c r="B16" s="9" t="n">
        <v>45000</v>
      </c>
      <c r="C16" s="9" t="n">
        <v>52000</v>
      </c>
      <c r="D16" s="10" t="n">
        <f aca="false">IFERROR(B16/B$23,0)</f>
        <v>0.0165590938863825</v>
      </c>
      <c r="E16" s="10" t="n">
        <f aca="false">IFERROR(C16/C$23,0)</f>
        <v>0.0168498548320199</v>
      </c>
      <c r="F16" s="11" t="n">
        <f aca="false">IFERROR(C16/B16-1,"n.a.")</f>
        <v>0.155555555555555</v>
      </c>
      <c r="G16" s="12" t="n">
        <f aca="false">C16-B16</f>
        <v>7000</v>
      </c>
      <c r="H16" s="13" t="s">
        <v>51</v>
      </c>
    </row>
    <row r="17" customFormat="false" ht="15" hidden="false" customHeight="false" outlineLevel="0" collapsed="false">
      <c r="A17" s="8" t="s">
        <v>52</v>
      </c>
      <c r="B17" s="9" t="n">
        <v>9000</v>
      </c>
      <c r="C17" s="9" t="n">
        <v>12000</v>
      </c>
      <c r="D17" s="10" t="n">
        <f aca="false">IFERROR(B17/B$23,0)</f>
        <v>0.00331181877727651</v>
      </c>
      <c r="E17" s="10" t="n">
        <f aca="false">IFERROR(C17/C$23,0)</f>
        <v>0.00388842803815844</v>
      </c>
      <c r="F17" s="11" t="n">
        <f aca="false">IFERROR(C17/B17-1,"n.a.")</f>
        <v>0.333333333333333</v>
      </c>
      <c r="G17" s="12" t="n">
        <f aca="false">C17-B17</f>
        <v>3000</v>
      </c>
      <c r="H17" s="13" t="s">
        <v>53</v>
      </c>
    </row>
    <row r="18" customFormat="false" ht="15" hidden="false" customHeight="false" outlineLevel="0" collapsed="false">
      <c r="A18" s="8" t="s">
        <v>54</v>
      </c>
      <c r="B18" s="9" t="n">
        <v>8000</v>
      </c>
      <c r="C18" s="9" t="n">
        <v>11000</v>
      </c>
      <c r="D18" s="10" t="n">
        <f aca="false">IFERROR(B18/B$23,0)</f>
        <v>0.00294383891313467</v>
      </c>
      <c r="E18" s="10" t="n">
        <f aca="false">IFERROR(C18/C$23,0)</f>
        <v>0.0035643923683119</v>
      </c>
      <c r="F18" s="11" t="n">
        <f aca="false">IFERROR(C18/B18-1,"n.a.")</f>
        <v>0.375</v>
      </c>
      <c r="G18" s="12" t="n">
        <f aca="false">C18-B18</f>
        <v>3000</v>
      </c>
      <c r="H18" s="13" t="s">
        <v>55</v>
      </c>
    </row>
    <row r="19" customFormat="false" ht="15" hidden="false" customHeight="false" outlineLevel="0" collapsed="false">
      <c r="A19" s="8" t="s">
        <v>56</v>
      </c>
      <c r="B19" s="9" t="n">
        <v>13000</v>
      </c>
      <c r="C19" s="9" t="n">
        <v>15000</v>
      </c>
      <c r="D19" s="10" t="n">
        <f aca="false">IFERROR(B19/B$23,0)</f>
        <v>0.00478373823384384</v>
      </c>
      <c r="E19" s="10" t="n">
        <f aca="false">IFERROR(C19/C$23,0)</f>
        <v>0.00486053504769805</v>
      </c>
      <c r="F19" s="11" t="n">
        <f aca="false">IFERROR(C19/B19-1,"n.a.")</f>
        <v>0.153846153846154</v>
      </c>
      <c r="G19" s="12" t="n">
        <f aca="false">C19-B19</f>
        <v>2000</v>
      </c>
      <c r="H19" s="13" t="s">
        <v>57</v>
      </c>
    </row>
    <row r="20" customFormat="false" ht="15" hidden="false" customHeight="false" outlineLevel="0" collapsed="false">
      <c r="A20" s="8" t="s">
        <v>58</v>
      </c>
      <c r="B20" s="9" t="n">
        <v>95000</v>
      </c>
      <c r="C20" s="9" t="n">
        <v>104000</v>
      </c>
      <c r="D20" s="10" t="n">
        <f aca="false">IFERROR(B20/B$23,0)</f>
        <v>0.0349580870934743</v>
      </c>
      <c r="E20" s="10" t="n">
        <f aca="false">IFERROR(C20/C$23,0)</f>
        <v>0.0336997096640398</v>
      </c>
      <c r="F20" s="11" t="n">
        <f aca="false">IFERROR(C20/B20-1,"n.a.")</f>
        <v>0.0947368421052632</v>
      </c>
      <c r="G20" s="12" t="n">
        <f aca="false">C20-B20</f>
        <v>9000</v>
      </c>
      <c r="H20" s="13" t="s">
        <v>59</v>
      </c>
    </row>
    <row r="21" customFormat="false" ht="15" hidden="false" customHeight="false" outlineLevel="0" collapsed="false">
      <c r="A21" s="8" t="s">
        <v>60</v>
      </c>
      <c r="B21" s="9" t="n">
        <v>62000</v>
      </c>
      <c r="C21" s="9" t="n">
        <v>70000</v>
      </c>
      <c r="D21" s="10" t="n">
        <f aca="false">IFERROR(B21/B$23,0)</f>
        <v>0.0228147515767937</v>
      </c>
      <c r="E21" s="10" t="n">
        <f aca="false">IFERROR(C21/C$23,0)</f>
        <v>0.0226824968892576</v>
      </c>
      <c r="F21" s="11" t="n">
        <f aca="false">IFERROR(C21/B21-1,"n.a.")</f>
        <v>0.129032258064516</v>
      </c>
      <c r="G21" s="12" t="n">
        <f aca="false">C21-B21</f>
        <v>8000</v>
      </c>
      <c r="H21" s="13" t="s">
        <v>61</v>
      </c>
    </row>
    <row r="22" customFormat="false" ht="15" hidden="false" customHeight="false" outlineLevel="0" collapsed="false">
      <c r="A22" s="8" t="s">
        <v>62</v>
      </c>
      <c r="B22" s="9" t="n">
        <v>4000</v>
      </c>
      <c r="C22" s="9" t="n">
        <v>5000</v>
      </c>
      <c r="D22" s="10" t="n">
        <f aca="false">IFERROR(B22/B$23,0)</f>
        <v>0.00147191945656734</v>
      </c>
      <c r="E22" s="10" t="n">
        <f aca="false">IFERROR(C22/C$23,0)</f>
        <v>0.00162017834923268</v>
      </c>
      <c r="F22" s="11" t="n">
        <f aca="false">IFERROR(C22/B22-1,"n.a.")</f>
        <v>0.25</v>
      </c>
      <c r="G22" s="12" t="n">
        <f aca="false">C22-B22</f>
        <v>1000</v>
      </c>
      <c r="H22" s="13" t="s">
        <v>63</v>
      </c>
    </row>
    <row r="23" customFormat="false" ht="15" hidden="false" customHeight="false" outlineLevel="0" collapsed="false">
      <c r="A23" s="14" t="s">
        <v>64</v>
      </c>
      <c r="B23" s="15" t="n">
        <f aca="false">B6+B7+B8+B9+B15+B16+B17+B18+B19+B20+B21+B22</f>
        <v>2717540</v>
      </c>
      <c r="C23" s="15" t="n">
        <f aca="false">C6+C7+C8+C9+C15+C16+C17+C18+C19+C20+C21+C22</f>
        <v>3086080</v>
      </c>
      <c r="D23" s="16" t="n">
        <f aca="false">IFERROR(B23/B$23,0)</f>
        <v>1</v>
      </c>
      <c r="E23" s="16" t="n">
        <f aca="false">IFERROR(C23/C$23,0)</f>
        <v>1</v>
      </c>
      <c r="F23" s="17" t="n">
        <f aca="false">IFERROR(C23/B23-1,"n.a.")</f>
        <v>0.135615299130831</v>
      </c>
      <c r="G23" s="15" t="n">
        <f aca="false">C23-B23</f>
        <v>368540</v>
      </c>
      <c r="H23" s="18" t="s">
        <v>65</v>
      </c>
    </row>
    <row r="24" customFormat="false" ht="15" hidden="false" customHeight="false" outlineLevel="0" collapsed="false">
      <c r="A24" s="7" t="s">
        <v>66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8" t="s">
        <v>67</v>
      </c>
      <c r="B25" s="9" t="n">
        <v>390000</v>
      </c>
      <c r="C25" s="9" t="n">
        <v>410000</v>
      </c>
      <c r="D25" s="10" t="n">
        <f aca="false">IFERROR(B25/B$44,0)</f>
        <v>0.143512147015315</v>
      </c>
      <c r="E25" s="10" t="n">
        <f aca="false">IFERROR(C25/C$44,0)</f>
        <v>0.13285462463708</v>
      </c>
      <c r="F25" s="11" t="n">
        <f aca="false">IFERROR(C25/B25-1,"n.a.")</f>
        <v>0.0512820512820513</v>
      </c>
      <c r="G25" s="12" t="n">
        <f aca="false">C25-B25</f>
        <v>20000</v>
      </c>
      <c r="H25" s="13" t="s">
        <v>68</v>
      </c>
    </row>
    <row r="26" customFormat="false" ht="15" hidden="false" customHeight="false" outlineLevel="0" collapsed="false">
      <c r="A26" s="8" t="s">
        <v>69</v>
      </c>
      <c r="B26" s="9" t="n">
        <v>210000</v>
      </c>
      <c r="C26" s="9" t="n">
        <v>235000</v>
      </c>
      <c r="D26" s="10" t="n">
        <f aca="false">IFERROR(B26/B$44,0)</f>
        <v>0.0772757714697852</v>
      </c>
      <c r="E26" s="10" t="n">
        <f aca="false">IFERROR(C26/C$44,0)</f>
        <v>0.0761483824139361</v>
      </c>
      <c r="F26" s="11" t="n">
        <f aca="false">IFERROR(C26/B26-1,"n.a.")</f>
        <v>0.119047619047619</v>
      </c>
      <c r="G26" s="12" t="n">
        <f aca="false">C26-B26</f>
        <v>25000</v>
      </c>
      <c r="H26" s="13" t="s">
        <v>70</v>
      </c>
    </row>
    <row r="27" customFormat="false" ht="15" hidden="false" customHeight="false" outlineLevel="0" collapsed="false">
      <c r="A27" s="8" t="s">
        <v>71</v>
      </c>
      <c r="B27" s="9" t="n">
        <v>1330000</v>
      </c>
      <c r="C27" s="9" t="n">
        <v>1520000</v>
      </c>
      <c r="D27" s="10" t="n">
        <f aca="false">IFERROR(B27/B$44,0)</f>
        <v>0.489413219308639</v>
      </c>
      <c r="E27" s="10" t="n">
        <f aca="false">IFERROR(C27/C$44,0)</f>
        <v>0.492534218166736</v>
      </c>
      <c r="F27" s="11" t="n">
        <f aca="false">IFERROR(C27/B27-1,"n.a.")</f>
        <v>0.142857142857143</v>
      </c>
      <c r="G27" s="12" t="n">
        <f aca="false">C27-B27</f>
        <v>190000</v>
      </c>
      <c r="H27" s="13" t="s">
        <v>72</v>
      </c>
    </row>
    <row r="28" customFormat="false" ht="15" hidden="false" customHeight="false" outlineLevel="0" collapsed="false">
      <c r="A28" s="14" t="s">
        <v>73</v>
      </c>
      <c r="B28" s="15" t="n">
        <f aca="false">B25+B26+B27</f>
        <v>1930000</v>
      </c>
      <c r="C28" s="15" t="n">
        <f aca="false">C25+C26+C27</f>
        <v>2165000</v>
      </c>
      <c r="D28" s="16" t="n">
        <f aca="false">IFERROR(B28/B$44,0)</f>
        <v>0.71020113779374</v>
      </c>
      <c r="E28" s="16" t="n">
        <f aca="false">IFERROR(C28/C$44,0)</f>
        <v>0.701537225217752</v>
      </c>
      <c r="F28" s="17" t="n">
        <f aca="false">IFERROR(C28/B28-1,"n.a.")</f>
        <v>0.121761658031088</v>
      </c>
      <c r="G28" s="15" t="n">
        <f aca="false">C28-B28</f>
        <v>235000</v>
      </c>
      <c r="H28" s="18" t="s">
        <v>74</v>
      </c>
    </row>
    <row r="29" customFormat="false" ht="15" hidden="false" customHeight="false" outlineLevel="0" collapsed="false">
      <c r="A29" s="8" t="s">
        <v>75</v>
      </c>
      <c r="B29" s="9" t="n">
        <v>120000</v>
      </c>
      <c r="C29" s="9" t="n">
        <v>150000</v>
      </c>
      <c r="D29" s="10" t="n">
        <f aca="false">IFERROR(B29/B$44,0)</f>
        <v>0.0441575836970201</v>
      </c>
      <c r="E29" s="10" t="n">
        <f aca="false">IFERROR(C29/C$44,0)</f>
        <v>0.0486053504769805</v>
      </c>
      <c r="F29" s="11" t="n">
        <f aca="false">IFERROR(C29/B29-1,"n.a.")</f>
        <v>0.25</v>
      </c>
      <c r="G29" s="12" t="n">
        <f aca="false">C29-B29</f>
        <v>30000</v>
      </c>
      <c r="H29" s="13" t="s">
        <v>76</v>
      </c>
    </row>
    <row r="30" customFormat="false" ht="15" hidden="false" customHeight="false" outlineLevel="0" collapsed="false">
      <c r="A30" s="8" t="s">
        <v>77</v>
      </c>
      <c r="B30" s="9" t="n">
        <v>160000</v>
      </c>
      <c r="C30" s="9" t="n">
        <v>175000</v>
      </c>
      <c r="D30" s="10" t="n">
        <f aca="false">IFERROR(B30/B$44,0)</f>
        <v>0.0588767782626935</v>
      </c>
      <c r="E30" s="10" t="n">
        <f aca="false">IFERROR(C30/C$44,0)</f>
        <v>0.0567062422231439</v>
      </c>
      <c r="F30" s="11" t="n">
        <f aca="false">IFERROR(C30/B30-1,"n.a.")</f>
        <v>0.09375</v>
      </c>
      <c r="G30" s="12" t="n">
        <f aca="false">C30-B30</f>
        <v>15000</v>
      </c>
      <c r="H30" s="13" t="s">
        <v>78</v>
      </c>
    </row>
    <row r="31" customFormat="false" ht="15" hidden="false" customHeight="false" outlineLevel="0" collapsed="false">
      <c r="A31" s="8" t="s">
        <v>79</v>
      </c>
      <c r="B31" s="9" t="n">
        <v>120000</v>
      </c>
      <c r="C31" s="9" t="n">
        <v>140000</v>
      </c>
      <c r="D31" s="10" t="n">
        <f aca="false">IFERROR(B31/B$44,0)</f>
        <v>0.0441575836970201</v>
      </c>
      <c r="E31" s="10" t="n">
        <f aca="false">IFERROR(C31/C$44,0)</f>
        <v>0.0453649937785151</v>
      </c>
      <c r="F31" s="11" t="n">
        <f aca="false">IFERROR(C31/B31-1,"n.a.")</f>
        <v>0.166666666666667</v>
      </c>
      <c r="G31" s="12" t="n">
        <f aca="false">C31-B31</f>
        <v>20000</v>
      </c>
      <c r="H31" s="13" t="s">
        <v>80</v>
      </c>
    </row>
    <row r="32" customFormat="false" ht="15" hidden="false" customHeight="false" outlineLevel="0" collapsed="false">
      <c r="A32" s="8" t="s">
        <v>81</v>
      </c>
      <c r="B32" s="9" t="n">
        <v>0</v>
      </c>
      <c r="C32" s="9" t="n">
        <v>15000</v>
      </c>
      <c r="D32" s="10" t="n">
        <f aca="false">IFERROR(B32/B$44,0)</f>
        <v>0</v>
      </c>
      <c r="E32" s="10" t="n">
        <f aca="false">IFERROR(C32/C$44,0)</f>
        <v>0.00486053504769805</v>
      </c>
      <c r="F32" s="11" t="str">
        <f aca="false">IFERROR(C32/B32-1,"n.a.")</f>
        <v>n.a.</v>
      </c>
      <c r="G32" s="12" t="n">
        <f aca="false">C32-B32</f>
        <v>15000</v>
      </c>
      <c r="H32" s="13" t="s">
        <v>82</v>
      </c>
    </row>
    <row r="33" customFormat="false" ht="15" hidden="false" customHeight="false" outlineLevel="0" collapsed="false">
      <c r="A33" s="8" t="s">
        <v>83</v>
      </c>
      <c r="B33" s="9" t="n">
        <v>25000</v>
      </c>
      <c r="C33" s="9" t="n">
        <v>28000</v>
      </c>
      <c r="D33" s="10" t="n">
        <f aca="false">IFERROR(B33/B$44,0)</f>
        <v>0.00919949660354585</v>
      </c>
      <c r="E33" s="10" t="n">
        <f aca="false">IFERROR(C33/C$44,0)</f>
        <v>0.00907299875570303</v>
      </c>
      <c r="F33" s="11" t="n">
        <f aca="false">IFERROR(C33/B33-1,"n.a.")</f>
        <v>0.12</v>
      </c>
      <c r="G33" s="12" t="n">
        <f aca="false">C33-B33</f>
        <v>3000</v>
      </c>
      <c r="H33" s="13" t="s">
        <v>84</v>
      </c>
    </row>
    <row r="34" customFormat="false" ht="15" hidden="false" customHeight="false" outlineLevel="0" collapsed="false">
      <c r="A34" s="8" t="s">
        <v>85</v>
      </c>
      <c r="B34" s="9" t="n">
        <v>11000</v>
      </c>
      <c r="C34" s="9" t="n">
        <v>12000</v>
      </c>
      <c r="D34" s="10" t="n">
        <f aca="false">IFERROR(B34/B$44,0)</f>
        <v>0.00404777850556018</v>
      </c>
      <c r="E34" s="10" t="n">
        <f aca="false">IFERROR(C34/C$44,0)</f>
        <v>0.00388842803815844</v>
      </c>
      <c r="F34" s="11" t="n">
        <f aca="false">IFERROR(C34/B34-1,"n.a.")</f>
        <v>0.0909090909090908</v>
      </c>
      <c r="G34" s="12" t="n">
        <f aca="false">C34-B34</f>
        <v>1000</v>
      </c>
      <c r="H34" s="13" t="s">
        <v>86</v>
      </c>
    </row>
    <row r="35" customFormat="false" ht="15" hidden="false" customHeight="false" outlineLevel="0" collapsed="false">
      <c r="A35" s="8" t="s">
        <v>87</v>
      </c>
      <c r="B35" s="9" t="n">
        <v>18000</v>
      </c>
      <c r="C35" s="9" t="n">
        <v>21000</v>
      </c>
      <c r="D35" s="10" t="n">
        <f aca="false">IFERROR(B35/B$44,0)</f>
        <v>0.00662363755455301</v>
      </c>
      <c r="E35" s="10" t="n">
        <f aca="false">IFERROR(C35/C$44,0)</f>
        <v>0.00680474906677727</v>
      </c>
      <c r="F35" s="11" t="n">
        <f aca="false">IFERROR(C35/B35-1,"n.a.")</f>
        <v>0.166666666666667</v>
      </c>
      <c r="G35" s="12" t="n">
        <f aca="false">C35-B35</f>
        <v>3000</v>
      </c>
      <c r="H35" s="13" t="s">
        <v>88</v>
      </c>
    </row>
    <row r="36" customFormat="false" ht="15" hidden="false" customHeight="false" outlineLevel="0" collapsed="false">
      <c r="A36" s="8" t="s">
        <v>89</v>
      </c>
      <c r="B36" s="9" t="n">
        <v>28000</v>
      </c>
      <c r="C36" s="9" t="n">
        <v>31000</v>
      </c>
      <c r="D36" s="10" t="n">
        <f aca="false">IFERROR(B36/B$44,0)</f>
        <v>0.0103034361959714</v>
      </c>
      <c r="E36" s="10" t="n">
        <f aca="false">IFERROR(C36/C$44,0)</f>
        <v>0.0100451057652426</v>
      </c>
      <c r="F36" s="11" t="n">
        <f aca="false">IFERROR(C36/B36-1,"n.a.")</f>
        <v>0.107142857142857</v>
      </c>
      <c r="G36" s="12" t="n">
        <f aca="false">C36-B36</f>
        <v>3000</v>
      </c>
      <c r="H36" s="13" t="s">
        <v>90</v>
      </c>
    </row>
    <row r="37" customFormat="false" ht="15" hidden="false" customHeight="false" outlineLevel="0" collapsed="false">
      <c r="A37" s="14" t="s">
        <v>91</v>
      </c>
      <c r="B37" s="15" t="n">
        <f aca="false">B28+B29+B30+B31+B32+B33+B34+B35+B36</f>
        <v>2412000</v>
      </c>
      <c r="C37" s="15" t="n">
        <f aca="false">C28+C29+C30+C31+C32+C33+C34+C35+C36</f>
        <v>2737000</v>
      </c>
      <c r="D37" s="16" t="n">
        <f aca="false">IFERROR(B37/B$44,0)</f>
        <v>0.887567432310104</v>
      </c>
      <c r="E37" s="16" t="n">
        <f aca="false">IFERROR(C37/C$44,0)</f>
        <v>0.886885628369971</v>
      </c>
      <c r="F37" s="17" t="n">
        <f aca="false">IFERROR(C37/B37-1,"n.a.")</f>
        <v>0.134742951907131</v>
      </c>
      <c r="G37" s="15" t="n">
        <f aca="false">C37-B37</f>
        <v>325000</v>
      </c>
      <c r="H37" s="18" t="s">
        <v>92</v>
      </c>
    </row>
    <row r="38" customFormat="false" ht="15" hidden="false" customHeight="false" outlineLevel="0" collapsed="false">
      <c r="A38" s="7" t="s">
        <v>93</v>
      </c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8" t="s">
        <v>94</v>
      </c>
      <c r="B39" s="9" t="n">
        <v>130000</v>
      </c>
      <c r="C39" s="9" t="n">
        <v>159870</v>
      </c>
      <c r="D39" s="10" t="n">
        <f aca="false">IFERROR(B39/B$44,0)</f>
        <v>0.0478373823384384</v>
      </c>
      <c r="E39" s="10" t="n">
        <f aca="false">IFERROR(C39/C$44,0)</f>
        <v>0.0518035825383658</v>
      </c>
      <c r="F39" s="11" t="n">
        <f aca="false">IFERROR(C39/B39-1,"n.a.")</f>
        <v>0.229769230769231</v>
      </c>
      <c r="G39" s="12" t="n">
        <f aca="false">C39-B39</f>
        <v>29870</v>
      </c>
      <c r="H39" s="13" t="s">
        <v>95</v>
      </c>
    </row>
    <row r="40" customFormat="false" ht="15" hidden="false" customHeight="false" outlineLevel="0" collapsed="false">
      <c r="A40" s="8" t="s">
        <v>96</v>
      </c>
      <c r="B40" s="9" t="n">
        <v>150000</v>
      </c>
      <c r="C40" s="9" t="n">
        <v>167870</v>
      </c>
      <c r="D40" s="10" t="n">
        <f aca="false">IFERROR(B40/B$44,0)</f>
        <v>0.0551969796212751</v>
      </c>
      <c r="E40" s="10" t="n">
        <f aca="false">IFERROR(C40/C$44,0)</f>
        <v>0.0543958678971381</v>
      </c>
      <c r="F40" s="11" t="n">
        <f aca="false">IFERROR(C40/B40-1,"n.a.")</f>
        <v>0.119133333333333</v>
      </c>
      <c r="G40" s="12" t="n">
        <f aca="false">C40-B40</f>
        <v>17870</v>
      </c>
      <c r="H40" s="13" t="s">
        <v>97</v>
      </c>
    </row>
    <row r="41" customFormat="false" ht="15" hidden="false" customHeight="false" outlineLevel="0" collapsed="false">
      <c r="A41" s="8" t="s">
        <v>98</v>
      </c>
      <c r="B41" s="9" t="n">
        <v>24540</v>
      </c>
      <c r="C41" s="9" t="n">
        <v>19840</v>
      </c>
      <c r="D41" s="10" t="n">
        <f aca="false">IFERROR(B41/B$44,0)</f>
        <v>0.00903022586604061</v>
      </c>
      <c r="E41" s="10" t="n">
        <f aca="false">IFERROR(C41/C$44,0)</f>
        <v>0.00642886768975529</v>
      </c>
      <c r="F41" s="11" t="n">
        <f aca="false">IFERROR(C41/B41-1,"n.a.")</f>
        <v>-0.191524042379788</v>
      </c>
      <c r="G41" s="12" t="n">
        <f aca="false">C41-B41</f>
        <v>-4700</v>
      </c>
      <c r="H41" s="13" t="s">
        <v>99</v>
      </c>
    </row>
    <row r="42" customFormat="false" ht="15" hidden="false" customHeight="false" outlineLevel="0" collapsed="false">
      <c r="A42" s="8" t="s">
        <v>100</v>
      </c>
      <c r="B42" s="9" t="n">
        <v>1000</v>
      </c>
      <c r="C42" s="9" t="n">
        <v>1500</v>
      </c>
      <c r="D42" s="10" t="n">
        <f aca="false">IFERROR(B42/B$44,0)</f>
        <v>0.000367979864141834</v>
      </c>
      <c r="E42" s="10" t="n">
        <f aca="false">IFERROR(C42/C$44,0)</f>
        <v>0.000486053504769805</v>
      </c>
      <c r="F42" s="11" t="n">
        <f aca="false">IFERROR(C42/B42-1,"n.a.")</f>
        <v>0.5</v>
      </c>
      <c r="G42" s="12" t="n">
        <f aca="false">C42-B42</f>
        <v>500</v>
      </c>
      <c r="H42" s="13" t="s">
        <v>101</v>
      </c>
    </row>
    <row r="43" customFormat="false" ht="15" hidden="false" customHeight="false" outlineLevel="0" collapsed="false">
      <c r="A43" s="14" t="s">
        <v>102</v>
      </c>
      <c r="B43" s="15" t="n">
        <f aca="false">B39+B40+B41+B42</f>
        <v>305540</v>
      </c>
      <c r="C43" s="15" t="n">
        <f aca="false">C39+C40+C41+C42</f>
        <v>349080</v>
      </c>
      <c r="D43" s="16" t="n">
        <f aca="false">IFERROR(B43/B$44,0)</f>
        <v>0.112432567689896</v>
      </c>
      <c r="E43" s="16" t="n">
        <f aca="false">IFERROR(C43/C$44,0)</f>
        <v>0.113114371630029</v>
      </c>
      <c r="F43" s="17" t="n">
        <f aca="false">IFERROR(C43/B43-1,"n.a.")</f>
        <v>0.142501800091641</v>
      </c>
      <c r="G43" s="15" t="n">
        <f aca="false">C43-B43</f>
        <v>43540</v>
      </c>
      <c r="H43" s="18" t="s">
        <v>103</v>
      </c>
    </row>
    <row r="44" customFormat="false" ht="15" hidden="false" customHeight="false" outlineLevel="0" collapsed="false">
      <c r="A44" s="14" t="s">
        <v>104</v>
      </c>
      <c r="B44" s="15" t="n">
        <f aca="false">B37+B43</f>
        <v>2717540</v>
      </c>
      <c r="C44" s="15" t="n">
        <f aca="false">C37+C43</f>
        <v>3086080</v>
      </c>
      <c r="D44" s="16" t="n">
        <f aca="false">IFERROR(B44/B$44,0)</f>
        <v>1</v>
      </c>
      <c r="E44" s="16" t="n">
        <f aca="false">IFERROR(C44/C$44,0)</f>
        <v>1</v>
      </c>
      <c r="F44" s="17" t="n">
        <f aca="false">IFERROR(C44/B44-1,"n.a.")</f>
        <v>0.135615299130831</v>
      </c>
      <c r="G44" s="15" t="n">
        <f aca="false">C44-B44</f>
        <v>368540</v>
      </c>
    </row>
    <row r="45" customFormat="false" ht="15" hidden="false" customHeight="false" outlineLevel="0" collapsed="false">
      <c r="A45" s="8" t="s">
        <v>105</v>
      </c>
      <c r="B45" s="12" t="n">
        <f aca="false">B23-B44</f>
        <v>0</v>
      </c>
      <c r="C45" s="12" t="n">
        <f aca="false">C23-C44</f>
        <v>0</v>
      </c>
    </row>
    <row r="46" customFormat="false" ht="15" hidden="false" customHeight="false" outlineLevel="0" collapsed="false">
      <c r="A46" s="7" t="s">
        <v>106</v>
      </c>
      <c r="B46" s="7"/>
      <c r="C46" s="7"/>
      <c r="D46" s="7"/>
      <c r="E46" s="7"/>
      <c r="F46" s="7"/>
      <c r="G46" s="7"/>
      <c r="H46" s="7"/>
    </row>
    <row r="47" customFormat="false" ht="15" hidden="false" customHeight="false" outlineLevel="0" collapsed="false">
      <c r="A47" s="8" t="s">
        <v>107</v>
      </c>
      <c r="B47" s="9" t="n">
        <v>180000</v>
      </c>
      <c r="C47" s="9" t="n">
        <v>210000</v>
      </c>
      <c r="F47" s="11" t="n">
        <f aca="false">IFERROR(C47/B47-1,"n.a.")</f>
        <v>0.166666666666667</v>
      </c>
      <c r="G47" s="12" t="n">
        <f aca="false">C47-B47</f>
        <v>30000</v>
      </c>
      <c r="H47" s="1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90"/>
  </cols>
  <sheetData>
    <row r="1" customFormat="false" ht="16.15" hidden="false" customHeight="false" outlineLevel="0" collapsed="false">
      <c r="A1" s="1" t="s">
        <v>109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110</v>
      </c>
    </row>
    <row r="4" customFormat="false" ht="23.85" hidden="false" customHeight="false" outlineLevel="0" collapsed="false">
      <c r="A4" s="6" t="s">
        <v>21</v>
      </c>
      <c r="B4" s="6" t="s">
        <v>111</v>
      </c>
      <c r="C4" s="6" t="s">
        <v>112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</row>
    <row r="5" customFormat="false" ht="15" hidden="false" customHeight="false" outlineLevel="0" collapsed="false">
      <c r="A5" s="7" t="s">
        <v>113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0" collapsed="false">
      <c r="A6" s="8" t="s">
        <v>114</v>
      </c>
      <c r="B6" s="9" t="n">
        <v>290900</v>
      </c>
      <c r="C6" s="9" t="n">
        <v>345400</v>
      </c>
      <c r="D6" s="10" t="n">
        <f aca="false">IFERROR(B6/B$11,0)</f>
        <v>0.743799539759652</v>
      </c>
      <c r="E6" s="10" t="n">
        <f aca="false">IFERROR(C6/C$11,0)</f>
        <v>0.702032520325203</v>
      </c>
      <c r="F6" s="11" t="n">
        <f aca="false">IFERROR(C6/B6-1,"n.a.")</f>
        <v>0.187349604675146</v>
      </c>
      <c r="G6" s="12" t="n">
        <f aca="false">C6-B6</f>
        <v>54500</v>
      </c>
      <c r="H6" s="13" t="s">
        <v>115</v>
      </c>
    </row>
    <row r="7" customFormat="false" ht="15" hidden="false" customHeight="false" outlineLevel="0" collapsed="false">
      <c r="A7" s="8" t="s">
        <v>116</v>
      </c>
      <c r="B7" s="9" t="n">
        <v>7000</v>
      </c>
      <c r="C7" s="9" t="n">
        <v>9000</v>
      </c>
      <c r="D7" s="10" t="n">
        <f aca="false">IFERROR(B7/B$11,0)</f>
        <v>0.0178982357453337</v>
      </c>
      <c r="E7" s="10" t="n">
        <f aca="false">IFERROR(C7/C$11,0)</f>
        <v>0.0182926829268293</v>
      </c>
      <c r="F7" s="11" t="n">
        <f aca="false">IFERROR(C7/B7-1,"n.a.")</f>
        <v>0.285714285714286</v>
      </c>
      <c r="G7" s="12" t="n">
        <f aca="false">C7-B7</f>
        <v>2000</v>
      </c>
      <c r="H7" s="13" t="s">
        <v>117</v>
      </c>
    </row>
    <row r="8" customFormat="false" ht="15" hidden="false" customHeight="false" outlineLevel="0" collapsed="false">
      <c r="A8" s="8" t="s">
        <v>118</v>
      </c>
      <c r="B8" s="9" t="n">
        <v>72800</v>
      </c>
      <c r="C8" s="9" t="n">
        <v>106200</v>
      </c>
      <c r="D8" s="10" t="n">
        <f aca="false">IFERROR(B8/B$11,0)</f>
        <v>0.18614165175147</v>
      </c>
      <c r="E8" s="10" t="n">
        <f aca="false">IFERROR(C8/C$11,0)</f>
        <v>0.215853658536585</v>
      </c>
      <c r="F8" s="11" t="n">
        <f aca="false">IFERROR(C8/B8-1,"n.a.")</f>
        <v>0.458791208791209</v>
      </c>
      <c r="G8" s="12" t="n">
        <f aca="false">C8-B8</f>
        <v>33400</v>
      </c>
      <c r="H8" s="13" t="s">
        <v>119</v>
      </c>
    </row>
    <row r="9" customFormat="false" ht="15" hidden="false" customHeight="false" outlineLevel="0" collapsed="false">
      <c r="A9" s="8" t="s">
        <v>120</v>
      </c>
      <c r="B9" s="9" t="n">
        <v>6200</v>
      </c>
      <c r="C9" s="9" t="n">
        <v>10700</v>
      </c>
      <c r="D9" s="10" t="n">
        <f aca="false">IFERROR(B9/B$11,0)</f>
        <v>0.0158527230887241</v>
      </c>
      <c r="E9" s="10" t="n">
        <f aca="false">IFERROR(C9/C$11,0)</f>
        <v>0.0217479674796748</v>
      </c>
      <c r="F9" s="11" t="n">
        <f aca="false">IFERROR(C9/B9-1,"n.a.")</f>
        <v>0.725806451612903</v>
      </c>
      <c r="G9" s="12" t="n">
        <f aca="false">C9-B9</f>
        <v>4500</v>
      </c>
      <c r="H9" s="13" t="s">
        <v>121</v>
      </c>
    </row>
    <row r="10" customFormat="false" ht="15" hidden="false" customHeight="false" outlineLevel="0" collapsed="false">
      <c r="A10" s="8" t="s">
        <v>122</v>
      </c>
      <c r="B10" s="9" t="n">
        <v>14200</v>
      </c>
      <c r="C10" s="9" t="n">
        <v>20700</v>
      </c>
      <c r="D10" s="10" t="n">
        <f aca="false">IFERROR(B10/B$11,0)</f>
        <v>0.0363078496548197</v>
      </c>
      <c r="E10" s="10" t="n">
        <f aca="false">IFERROR(C10/C$11,0)</f>
        <v>0.0420731707317073</v>
      </c>
      <c r="F10" s="11" t="n">
        <f aca="false">IFERROR(C10/B10-1,"n.a.")</f>
        <v>0.45774647887324</v>
      </c>
      <c r="G10" s="12" t="n">
        <f aca="false">C10-B10</f>
        <v>6500</v>
      </c>
      <c r="H10" s="13" t="s">
        <v>123</v>
      </c>
    </row>
    <row r="11" customFormat="false" ht="15" hidden="false" customHeight="false" outlineLevel="0" collapsed="false">
      <c r="A11" s="14" t="s">
        <v>124</v>
      </c>
      <c r="B11" s="15" t="n">
        <f aca="false">B6+B7+B8+B9+B10</f>
        <v>391100</v>
      </c>
      <c r="C11" s="15" t="n">
        <f aca="false">C6+C7+C8+C9+C10</f>
        <v>492000</v>
      </c>
      <c r="D11" s="16" t="n">
        <f aca="false">IFERROR(B11/B$11,0)</f>
        <v>1</v>
      </c>
      <c r="E11" s="16" t="n">
        <f aca="false">IFERROR(C11/C$11,0)</f>
        <v>1</v>
      </c>
      <c r="F11" s="17" t="n">
        <f aca="false">IFERROR(C11/B11-1,"n.a.")</f>
        <v>0.257990283814881</v>
      </c>
      <c r="G11" s="15" t="n">
        <f aca="false">C11-B11</f>
        <v>100900</v>
      </c>
    </row>
    <row r="12" customFormat="false" ht="15" hidden="false" customHeight="false" outlineLevel="0" collapsed="false">
      <c r="A12" s="7" t="s">
        <v>125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8" t="s">
        <v>126</v>
      </c>
      <c r="B13" s="9" t="n">
        <v>-15200</v>
      </c>
      <c r="C13" s="9" t="n">
        <v>-18500</v>
      </c>
      <c r="D13" s="10" t="n">
        <f aca="false">IFERROR(B13/B$11,0)</f>
        <v>-0.0388647404755817</v>
      </c>
      <c r="E13" s="10" t="n">
        <f aca="false">IFERROR(C13/C$11,0)</f>
        <v>-0.0376016260162602</v>
      </c>
      <c r="F13" s="11" t="n">
        <f aca="false">IFERROR(C13/B13-1,"n.a.")</f>
        <v>0.217105263157895</v>
      </c>
      <c r="G13" s="12" t="n">
        <f aca="false">C13-B13</f>
        <v>-3300</v>
      </c>
      <c r="H13" s="13" t="s">
        <v>127</v>
      </c>
    </row>
    <row r="14" customFormat="false" ht="15" hidden="false" customHeight="false" outlineLevel="0" collapsed="false">
      <c r="A14" s="8" t="s">
        <v>128</v>
      </c>
      <c r="B14" s="9" t="n">
        <v>-137600</v>
      </c>
      <c r="C14" s="9" t="n">
        <v>-205900</v>
      </c>
      <c r="D14" s="10" t="n">
        <f aca="false">IFERROR(B14/B$11,0)</f>
        <v>-0.351828176936845</v>
      </c>
      <c r="E14" s="10" t="n">
        <f aca="false">IFERROR(C14/C$11,0)</f>
        <v>-0.41849593495935</v>
      </c>
      <c r="F14" s="11" t="n">
        <f aca="false">IFERROR(C14/B14-1,"n.a.")</f>
        <v>0.496366279069767</v>
      </c>
      <c r="G14" s="12" t="n">
        <f aca="false">C14-B14</f>
        <v>-68300</v>
      </c>
      <c r="H14" s="13" t="s">
        <v>129</v>
      </c>
    </row>
    <row r="15" customFormat="false" ht="15" hidden="false" customHeight="false" outlineLevel="0" collapsed="false">
      <c r="A15" s="8" t="s">
        <v>130</v>
      </c>
      <c r="B15" s="9" t="n">
        <v>-10900</v>
      </c>
      <c r="C15" s="9" t="n">
        <v>-17800</v>
      </c>
      <c r="D15" s="10" t="n">
        <f aca="false">IFERROR(B15/B$11,0)</f>
        <v>-0.0278701099463053</v>
      </c>
      <c r="E15" s="10" t="n">
        <f aca="false">IFERROR(C15/C$11,0)</f>
        <v>-0.0361788617886179</v>
      </c>
      <c r="F15" s="11" t="n">
        <f aca="false">IFERROR(C15/B15-1,"n.a.")</f>
        <v>0.63302752293578</v>
      </c>
      <c r="G15" s="12" t="n">
        <f aca="false">C15-B15</f>
        <v>-6900</v>
      </c>
      <c r="H15" s="13" t="s">
        <v>131</v>
      </c>
    </row>
    <row r="16" customFormat="false" ht="15" hidden="false" customHeight="false" outlineLevel="0" collapsed="false">
      <c r="A16" s="8" t="s">
        <v>132</v>
      </c>
      <c r="B16" s="9" t="n">
        <v>0</v>
      </c>
      <c r="C16" s="9" t="n">
        <v>-1600</v>
      </c>
      <c r="D16" s="10" t="n">
        <f aca="false">IFERROR(B16/B$11,0)</f>
        <v>0</v>
      </c>
      <c r="E16" s="10" t="n">
        <f aca="false">IFERROR(C16/C$11,0)</f>
        <v>-0.0032520325203252</v>
      </c>
      <c r="F16" s="11" t="str">
        <f aca="false">IFERROR(C16/B16-1,"n.a.")</f>
        <v>n.a.</v>
      </c>
      <c r="G16" s="12" t="n">
        <f aca="false">C16-B16</f>
        <v>-1600</v>
      </c>
      <c r="H16" s="13" t="s">
        <v>133</v>
      </c>
    </row>
    <row r="17" customFormat="false" ht="15" hidden="false" customHeight="false" outlineLevel="0" collapsed="false">
      <c r="A17" s="8" t="s">
        <v>134</v>
      </c>
      <c r="B17" s="9" t="n">
        <v>-2800</v>
      </c>
      <c r="C17" s="9" t="n">
        <v>-3300</v>
      </c>
      <c r="D17" s="10" t="n">
        <f aca="false">IFERROR(B17/B$11,0)</f>
        <v>-0.00715929429813347</v>
      </c>
      <c r="E17" s="10" t="n">
        <f aca="false">IFERROR(C17/C$11,0)</f>
        <v>-0.00670731707317073</v>
      </c>
      <c r="F17" s="11" t="n">
        <f aca="false">IFERROR(C17/B17-1,"n.a.")</f>
        <v>0.178571428571429</v>
      </c>
      <c r="G17" s="12" t="n">
        <f aca="false">C17-B17</f>
        <v>-500</v>
      </c>
      <c r="H17" s="13" t="s">
        <v>135</v>
      </c>
    </row>
    <row r="18" customFormat="false" ht="15" hidden="false" customHeight="false" outlineLevel="0" collapsed="false">
      <c r="A18" s="14" t="s">
        <v>136</v>
      </c>
      <c r="B18" s="15" t="n">
        <f aca="false">B13+B14+B15+B16+B17</f>
        <v>-166500</v>
      </c>
      <c r="C18" s="15" t="n">
        <f aca="false">C13+C14+C15+C16+C17</f>
        <v>-247100</v>
      </c>
      <c r="D18" s="16" t="n">
        <f aca="false">IFERROR(B18/B$11,0)</f>
        <v>-0.425722321656865</v>
      </c>
      <c r="E18" s="16" t="n">
        <f aca="false">IFERROR(C18/C$11,0)</f>
        <v>-0.502235772357724</v>
      </c>
      <c r="F18" s="17" t="n">
        <f aca="false">IFERROR(C18/B18-1,"n.a.")</f>
        <v>0.484084084084084</v>
      </c>
      <c r="G18" s="15" t="n">
        <f aca="false">C18-B18</f>
        <v>-80600</v>
      </c>
    </row>
    <row r="19" customFormat="false" ht="15" hidden="false" customHeight="false" outlineLevel="0" collapsed="false">
      <c r="A19" s="8" t="s">
        <v>137</v>
      </c>
      <c r="B19" s="9" t="n">
        <v>-14300</v>
      </c>
      <c r="C19" s="9" t="n">
        <v>-18400</v>
      </c>
      <c r="D19" s="10" t="n">
        <f aca="false">IFERROR(B19/B$11,0)</f>
        <v>-0.0365635387368959</v>
      </c>
      <c r="E19" s="10" t="n">
        <f aca="false">IFERROR(C19/C$11,0)</f>
        <v>-0.0373983739837398</v>
      </c>
      <c r="F19" s="11" t="n">
        <f aca="false">IFERROR(C19/B19-1,"n.a.")</f>
        <v>0.286713286713287</v>
      </c>
      <c r="G19" s="12" t="n">
        <f aca="false">C19-B19</f>
        <v>-4100</v>
      </c>
      <c r="H19" s="13" t="s">
        <v>138</v>
      </c>
    </row>
    <row r="20" customFormat="false" ht="15" hidden="false" customHeight="false" outlineLevel="0" collapsed="false">
      <c r="A20" s="8" t="s">
        <v>139</v>
      </c>
      <c r="B20" s="9" t="n">
        <v>-10100</v>
      </c>
      <c r="C20" s="9" t="n">
        <v>-12700</v>
      </c>
      <c r="D20" s="10" t="n">
        <f aca="false">IFERROR(B20/B$11,0)</f>
        <v>-0.0258245972896957</v>
      </c>
      <c r="E20" s="10" t="n">
        <f aca="false">IFERROR(C20/C$11,0)</f>
        <v>-0.0258130081300813</v>
      </c>
      <c r="F20" s="11" t="n">
        <f aca="false">IFERROR(C20/B20-1,"n.a.")</f>
        <v>0.257425742574257</v>
      </c>
      <c r="G20" s="12" t="n">
        <f aca="false">C20-B20</f>
        <v>-2600</v>
      </c>
      <c r="H20" s="13" t="s">
        <v>140</v>
      </c>
    </row>
    <row r="21" customFormat="false" ht="15" hidden="false" customHeight="false" outlineLevel="0" collapsed="false">
      <c r="A21" s="14" t="s">
        <v>141</v>
      </c>
      <c r="B21" s="15" t="n">
        <f aca="false">B19+B20</f>
        <v>-24400</v>
      </c>
      <c r="C21" s="15" t="n">
        <f aca="false">C19+C20</f>
        <v>-31100</v>
      </c>
      <c r="D21" s="16" t="n">
        <f aca="false">IFERROR(B21/B$11,0)</f>
        <v>-0.0623881360265917</v>
      </c>
      <c r="E21" s="16" t="n">
        <f aca="false">IFERROR(C21/C$11,0)</f>
        <v>-0.0632113821138211</v>
      </c>
      <c r="F21" s="17" t="n">
        <f aca="false">IFERROR(C21/B21-1,"n.a.")</f>
        <v>0.274590163934426</v>
      </c>
      <c r="G21" s="15" t="n">
        <f aca="false">C21-B21</f>
        <v>-6700</v>
      </c>
    </row>
    <row r="22" customFormat="false" ht="15" hidden="false" customHeight="false" outlineLevel="0" collapsed="false">
      <c r="A22" s="8" t="s">
        <v>142</v>
      </c>
      <c r="B22" s="9" t="n">
        <v>-46000</v>
      </c>
      <c r="C22" s="9" t="n">
        <v>-64000</v>
      </c>
      <c r="D22" s="10" t="n">
        <f aca="false">IFERROR(B22/B$11,0)</f>
        <v>-0.11761697775505</v>
      </c>
      <c r="E22" s="10" t="n">
        <f aca="false">IFERROR(C22/C$11,0)</f>
        <v>-0.130081300813008</v>
      </c>
      <c r="F22" s="11" t="n">
        <f aca="false">IFERROR(C22/B22-1,"n.a.")</f>
        <v>0.391304347826087</v>
      </c>
      <c r="G22" s="12" t="n">
        <f aca="false">C22-B22</f>
        <v>-18000</v>
      </c>
      <c r="H22" s="13" t="s">
        <v>143</v>
      </c>
    </row>
    <row r="23" customFormat="false" ht="15" hidden="false" customHeight="false" outlineLevel="0" collapsed="false">
      <c r="A23" s="14" t="s">
        <v>144</v>
      </c>
      <c r="B23" s="15" t="n">
        <f aca="false">B18+B21+B22</f>
        <v>-236900</v>
      </c>
      <c r="C23" s="15" t="n">
        <f aca="false">C18+C21+C22</f>
        <v>-342200</v>
      </c>
      <c r="D23" s="16" t="n">
        <f aca="false">IFERROR(B23/B$11,0)</f>
        <v>-0.605727435438507</v>
      </c>
      <c r="E23" s="16" t="n">
        <f aca="false">IFERROR(C23/C$11,0)</f>
        <v>-0.695528455284553</v>
      </c>
      <c r="F23" s="17" t="n">
        <f aca="false">IFERROR(C23/B23-1,"n.a.")</f>
        <v>0.44449134655973</v>
      </c>
      <c r="G23" s="15" t="n">
        <f aca="false">C23-B23</f>
        <v>-105300</v>
      </c>
    </row>
    <row r="24" customFormat="false" ht="15" hidden="false" customHeight="false" outlineLevel="0" collapsed="false">
      <c r="A24" s="14" t="s">
        <v>145</v>
      </c>
      <c r="B24" s="15" t="n">
        <f aca="false">B11+B23</f>
        <v>154200</v>
      </c>
      <c r="C24" s="15" t="n">
        <f aca="false">C11+C23</f>
        <v>149800</v>
      </c>
      <c r="D24" s="16" t="n">
        <f aca="false">IFERROR(B24/B$11,0)</f>
        <v>0.394272564561493</v>
      </c>
      <c r="E24" s="16" t="n">
        <f aca="false">IFERROR(C24/C$11,0)</f>
        <v>0.304471544715447</v>
      </c>
      <c r="F24" s="17" t="n">
        <f aca="false">IFERROR(C24/B24-1,"n.a.")</f>
        <v>-0.0285343709468223</v>
      </c>
      <c r="G24" s="15" t="n">
        <f aca="false">C24-B24</f>
        <v>-4400</v>
      </c>
    </row>
    <row r="25" customFormat="false" ht="15" hidden="false" customHeight="false" outlineLevel="0" collapsed="false">
      <c r="A25" s="7" t="s">
        <v>146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8" t="s">
        <v>147</v>
      </c>
      <c r="B26" s="9" t="n">
        <v>41000</v>
      </c>
      <c r="C26" s="9" t="n">
        <v>48000</v>
      </c>
      <c r="D26" s="10" t="n">
        <f aca="false">IFERROR(B26/B$11,0)</f>
        <v>0.10483252365124</v>
      </c>
      <c r="E26" s="10" t="n">
        <f aca="false">IFERROR(C26/C$11,0)</f>
        <v>0.0975609756097561</v>
      </c>
      <c r="F26" s="11" t="n">
        <f aca="false">IFERROR(C26/B26-1,"n.a.")</f>
        <v>0.170731707317073</v>
      </c>
      <c r="G26" s="12" t="n">
        <f aca="false">C26-B26</f>
        <v>7000</v>
      </c>
      <c r="H26" s="13" t="s">
        <v>148</v>
      </c>
    </row>
    <row r="27" customFormat="false" ht="15" hidden="false" customHeight="false" outlineLevel="0" collapsed="false">
      <c r="A27" s="8" t="s">
        <v>149</v>
      </c>
      <c r="B27" s="9" t="n">
        <v>12500</v>
      </c>
      <c r="C27" s="9" t="n">
        <v>14000</v>
      </c>
      <c r="D27" s="10" t="n">
        <f aca="false">IFERROR(B27/B$11,0)</f>
        <v>0.0319611352595244</v>
      </c>
      <c r="E27" s="10" t="n">
        <f aca="false">IFERROR(C27/C$11,0)</f>
        <v>0.0284552845528455</v>
      </c>
      <c r="F27" s="11" t="n">
        <f aca="false">IFERROR(C27/B27-1,"n.a.")</f>
        <v>0.12</v>
      </c>
      <c r="G27" s="12" t="n">
        <f aca="false">C27-B27</f>
        <v>1500</v>
      </c>
      <c r="H27" s="13" t="s">
        <v>150</v>
      </c>
    </row>
    <row r="28" customFormat="false" ht="15" hidden="false" customHeight="false" outlineLevel="0" collapsed="false">
      <c r="A28" s="8" t="s">
        <v>151</v>
      </c>
      <c r="B28" s="9" t="n">
        <v>-78000</v>
      </c>
      <c r="C28" s="9" t="n">
        <v>-86000</v>
      </c>
      <c r="D28" s="10" t="n">
        <f aca="false">IFERROR(B28/B$11,0)</f>
        <v>-0.199437484019432</v>
      </c>
      <c r="E28" s="10" t="n">
        <f aca="false">IFERROR(C28/C$11,0)</f>
        <v>-0.17479674796748</v>
      </c>
      <c r="F28" s="11" t="n">
        <f aca="false">IFERROR(C28/B28-1,"n.a.")</f>
        <v>0.102564102564103</v>
      </c>
      <c r="G28" s="12" t="n">
        <f aca="false">C28-B28</f>
        <v>-8000</v>
      </c>
      <c r="H28" s="13" t="s">
        <v>152</v>
      </c>
    </row>
    <row r="29" customFormat="false" ht="15" hidden="false" customHeight="false" outlineLevel="0" collapsed="false">
      <c r="A29" s="8" t="s">
        <v>153</v>
      </c>
      <c r="B29" s="9" t="n">
        <v>-60000</v>
      </c>
      <c r="C29" s="9" t="n">
        <v>-66000</v>
      </c>
      <c r="D29" s="10" t="n">
        <f aca="false">IFERROR(B29/B$11,0)</f>
        <v>-0.153413449245717</v>
      </c>
      <c r="E29" s="10" t="n">
        <f aca="false">IFERROR(C29/C$11,0)</f>
        <v>-0.134146341463415</v>
      </c>
      <c r="F29" s="11" t="n">
        <f aca="false">IFERROR(C29/B29-1,"n.a.")</f>
        <v>0.1</v>
      </c>
      <c r="G29" s="12" t="n">
        <f aca="false">C29-B29</f>
        <v>-6000</v>
      </c>
      <c r="H29" s="13" t="s">
        <v>154</v>
      </c>
    </row>
    <row r="30" customFormat="false" ht="15" hidden="false" customHeight="false" outlineLevel="0" collapsed="false">
      <c r="A30" s="8" t="s">
        <v>155</v>
      </c>
      <c r="B30" s="9" t="n">
        <v>-4700</v>
      </c>
      <c r="C30" s="9" t="n">
        <v>-5400</v>
      </c>
      <c r="D30" s="10" t="n">
        <f aca="false">IFERROR(B30/B$11,0)</f>
        <v>-0.0120173868575812</v>
      </c>
      <c r="E30" s="10" t="n">
        <f aca="false">IFERROR(C30/C$11,0)</f>
        <v>-0.0109756097560976</v>
      </c>
      <c r="F30" s="11" t="n">
        <f aca="false">IFERROR(C30/B30-1,"n.a.")</f>
        <v>0.148936170212766</v>
      </c>
      <c r="G30" s="12" t="n">
        <f aca="false">C30-B30</f>
        <v>-700</v>
      </c>
      <c r="H30" s="13" t="s">
        <v>156</v>
      </c>
    </row>
    <row r="31" customFormat="false" ht="15" hidden="false" customHeight="false" outlineLevel="0" collapsed="false">
      <c r="A31" s="8" t="s">
        <v>157</v>
      </c>
      <c r="B31" s="9" t="n">
        <v>6500</v>
      </c>
      <c r="C31" s="9" t="n">
        <v>7500</v>
      </c>
      <c r="D31" s="10" t="n">
        <f aca="false">IFERROR(B31/B$11,0)</f>
        <v>0.0166197903349527</v>
      </c>
      <c r="E31" s="10" t="n">
        <f aca="false">IFERROR(C31/C$11,0)</f>
        <v>0.0152439024390244</v>
      </c>
      <c r="F31" s="11" t="n">
        <f aca="false">IFERROR(C31/B31-1,"n.a.")</f>
        <v>0.153846153846154</v>
      </c>
      <c r="G31" s="12" t="n">
        <f aca="false">C31-B31</f>
        <v>1000</v>
      </c>
      <c r="H31" s="13" t="s">
        <v>158</v>
      </c>
    </row>
    <row r="32" customFormat="false" ht="15" hidden="false" customHeight="false" outlineLevel="0" collapsed="false">
      <c r="A32" s="8" t="s">
        <v>159</v>
      </c>
      <c r="B32" s="9" t="n">
        <v>-11500</v>
      </c>
      <c r="C32" s="9" t="n">
        <v>-13500</v>
      </c>
      <c r="D32" s="10" t="n">
        <f aca="false">IFERROR(B32/B$11,0)</f>
        <v>-0.0294042444387625</v>
      </c>
      <c r="E32" s="10" t="n">
        <f aca="false">IFERROR(C32/C$11,0)</f>
        <v>-0.0274390243902439</v>
      </c>
      <c r="F32" s="11" t="n">
        <f aca="false">IFERROR(C32/B32-1,"n.a.")</f>
        <v>0.173913043478261</v>
      </c>
      <c r="G32" s="12" t="n">
        <f aca="false">C32-B32</f>
        <v>-2000</v>
      </c>
      <c r="H32" s="13" t="s">
        <v>160</v>
      </c>
    </row>
    <row r="33" customFormat="false" ht="15" hidden="false" customHeight="false" outlineLevel="0" collapsed="false">
      <c r="A33" s="8" t="s">
        <v>161</v>
      </c>
      <c r="B33" s="9" t="n">
        <v>-1200</v>
      </c>
      <c r="C33" s="9" t="n">
        <v>1800</v>
      </c>
      <c r="D33" s="10" t="n">
        <f aca="false">IFERROR(B33/B$11,0)</f>
        <v>-0.00306826898491434</v>
      </c>
      <c r="E33" s="10" t="n">
        <f aca="false">IFERROR(C33/C$11,0)</f>
        <v>0.00365853658536585</v>
      </c>
      <c r="F33" s="11" t="n">
        <f aca="false">IFERROR(C33/B33-1,"n.a.")</f>
        <v>-2.5</v>
      </c>
      <c r="G33" s="12" t="n">
        <f aca="false">C33-B33</f>
        <v>3000</v>
      </c>
      <c r="H33" s="13" t="s">
        <v>162</v>
      </c>
    </row>
    <row r="34" customFormat="false" ht="15" hidden="false" customHeight="false" outlineLevel="0" collapsed="false">
      <c r="A34" s="14" t="s">
        <v>163</v>
      </c>
      <c r="B34" s="15" t="n">
        <f aca="false">B26+B27+B28+B29+B30+B31+B32+B33</f>
        <v>-95400</v>
      </c>
      <c r="C34" s="15" t="n">
        <f aca="false">C26+C27+C28+C29+C30+C31+C32+C33</f>
        <v>-99600</v>
      </c>
      <c r="D34" s="16" t="n">
        <f aca="false">IFERROR(B34/B$11,0)</f>
        <v>-0.24392738430069</v>
      </c>
      <c r="E34" s="16" t="n">
        <f aca="false">IFERROR(C34/C$11,0)</f>
        <v>-0.202439024390244</v>
      </c>
      <c r="F34" s="17" t="n">
        <f aca="false">IFERROR(C34/B34-1,"n.a.")</f>
        <v>0.0440251572327044</v>
      </c>
      <c r="G34" s="15" t="n">
        <f aca="false">C34-B34</f>
        <v>-4200</v>
      </c>
    </row>
    <row r="35" customFormat="false" ht="15" hidden="false" customHeight="false" outlineLevel="0" collapsed="false">
      <c r="A35" s="14" t="s">
        <v>164</v>
      </c>
      <c r="B35" s="15" t="n">
        <f aca="false">B24+B34</f>
        <v>58800</v>
      </c>
      <c r="C35" s="15" t="n">
        <f aca="false">C24+C34</f>
        <v>50200</v>
      </c>
      <c r="D35" s="16" t="n">
        <f aca="false">IFERROR(B35/B$11,0)</f>
        <v>0.150345180260803</v>
      </c>
      <c r="E35" s="16" t="n">
        <f aca="false">IFERROR(C35/C$11,0)</f>
        <v>0.102032520325203</v>
      </c>
      <c r="F35" s="17" t="n">
        <f aca="false">IFERROR(C35/B35-1,"n.a.")</f>
        <v>-0.146258503401361</v>
      </c>
      <c r="G35" s="15" t="n">
        <f aca="false">C35-B35</f>
        <v>-8600</v>
      </c>
    </row>
    <row r="36" customFormat="false" ht="15" hidden="false" customHeight="false" outlineLevel="0" collapsed="false">
      <c r="A36" s="8" t="s">
        <v>165</v>
      </c>
      <c r="B36" s="9" t="n">
        <v>300</v>
      </c>
      <c r="C36" s="9" t="n">
        <v>4200</v>
      </c>
      <c r="D36" s="10" t="n">
        <f aca="false">IFERROR(B36/B$11,0)</f>
        <v>0.000767067246228586</v>
      </c>
      <c r="E36" s="10" t="n">
        <f aca="false">IFERROR(C36/C$11,0)</f>
        <v>0.00853658536585366</v>
      </c>
      <c r="F36" s="11" t="n">
        <f aca="false">IFERROR(C36/B36-1,"n.a.")</f>
        <v>13</v>
      </c>
      <c r="G36" s="12" t="n">
        <f aca="false">C36-B36</f>
        <v>3900</v>
      </c>
      <c r="H36" s="13" t="s">
        <v>166</v>
      </c>
    </row>
    <row r="37" customFormat="false" ht="15" hidden="false" customHeight="false" outlineLevel="0" collapsed="false">
      <c r="A37" s="14" t="s">
        <v>167</v>
      </c>
      <c r="B37" s="15" t="n">
        <f aca="false">B35+B36</f>
        <v>59100</v>
      </c>
      <c r="C37" s="15" t="n">
        <f aca="false">C35+C36</f>
        <v>54400</v>
      </c>
      <c r="D37" s="16" t="n">
        <f aca="false">IFERROR(B37/B$11,0)</f>
        <v>0.151112247507031</v>
      </c>
      <c r="E37" s="16" t="n">
        <f aca="false">IFERROR(C37/C$11,0)</f>
        <v>0.110569105691057</v>
      </c>
      <c r="F37" s="17" t="n">
        <f aca="false">IFERROR(C37/B37-1,"n.a.")</f>
        <v>-0.0795262267343486</v>
      </c>
      <c r="G37" s="15" t="n">
        <f aca="false">C37-B37</f>
        <v>-4700</v>
      </c>
    </row>
    <row r="38" customFormat="false" ht="15" hidden="false" customHeight="false" outlineLevel="0" collapsed="false">
      <c r="A38" s="8" t="s">
        <v>168</v>
      </c>
      <c r="B38" s="9" t="n">
        <v>-600</v>
      </c>
      <c r="C38" s="9" t="n">
        <v>-700</v>
      </c>
      <c r="D38" s="10" t="n">
        <f aca="false">IFERROR(B38/B$11,0)</f>
        <v>-0.00153413449245717</v>
      </c>
      <c r="E38" s="10" t="n">
        <f aca="false">IFERROR(C38/C$11,0)</f>
        <v>-0.00142276422764228</v>
      </c>
      <c r="F38" s="11" t="n">
        <f aca="false">IFERROR(C38/B38-1,"n.a.")</f>
        <v>0.166666666666667</v>
      </c>
      <c r="G38" s="12" t="n">
        <f aca="false">C38-B38</f>
        <v>-100</v>
      </c>
      <c r="H38" s="13" t="s">
        <v>169</v>
      </c>
    </row>
    <row r="39" customFormat="false" ht="15" hidden="false" customHeight="false" outlineLevel="0" collapsed="false">
      <c r="A39" s="14" t="s">
        <v>170</v>
      </c>
      <c r="B39" s="15" t="n">
        <f aca="false">B37+B38</f>
        <v>58500</v>
      </c>
      <c r="C39" s="15" t="n">
        <f aca="false">C37+C38</f>
        <v>53700</v>
      </c>
      <c r="D39" s="16" t="n">
        <f aca="false">IFERROR(B39/B$11,0)</f>
        <v>0.149578113014574</v>
      </c>
      <c r="E39" s="16" t="n">
        <f aca="false">IFERROR(C39/C$11,0)</f>
        <v>0.109146341463415</v>
      </c>
      <c r="F39" s="17" t="n">
        <f aca="false">IFERROR(C39/B39-1,"n.a.")</f>
        <v>-0.0820512820512821</v>
      </c>
      <c r="G39" s="15" t="n">
        <f aca="false">C39-B39</f>
        <v>-4800</v>
      </c>
      <c r="H39" s="18" t="s">
        <v>171</v>
      </c>
    </row>
    <row r="40" customFormat="false" ht="15" hidden="false" customHeight="false" outlineLevel="0" collapsed="false">
      <c r="A40" s="8" t="s">
        <v>172</v>
      </c>
      <c r="B40" s="9" t="n">
        <v>-8200</v>
      </c>
      <c r="C40" s="9" t="n">
        <v>-12600</v>
      </c>
      <c r="D40" s="10" t="n">
        <f aca="false">IFERROR(B40/B$11,0)</f>
        <v>-0.020966504730248</v>
      </c>
      <c r="E40" s="10" t="n">
        <f aca="false">IFERROR(C40/C$11,0)</f>
        <v>-0.025609756097561</v>
      </c>
      <c r="F40" s="11" t="n">
        <f aca="false">IFERROR(C40/B40-1,"n.a.")</f>
        <v>0.536585365853659</v>
      </c>
      <c r="G40" s="12" t="n">
        <f aca="false">C40-B40</f>
        <v>-4400</v>
      </c>
      <c r="H40" s="13" t="s">
        <v>173</v>
      </c>
    </row>
    <row r="41" customFormat="false" ht="15" hidden="false" customHeight="false" outlineLevel="0" collapsed="false">
      <c r="A41" s="14" t="s">
        <v>174</v>
      </c>
      <c r="B41" s="15" t="n">
        <f aca="false">B39+B40</f>
        <v>50300</v>
      </c>
      <c r="C41" s="15" t="n">
        <f aca="false">C39+C40</f>
        <v>41100</v>
      </c>
      <c r="D41" s="16" t="n">
        <f aca="false">IFERROR(B41/B$11,0)</f>
        <v>0.128611608284326</v>
      </c>
      <c r="E41" s="16" t="n">
        <f aca="false">IFERROR(C41/C$11,0)</f>
        <v>0.0835365853658537</v>
      </c>
      <c r="F41" s="17" t="n">
        <f aca="false">IFERROR(C41/B41-1,"n.a.")</f>
        <v>-0.182902584493042</v>
      </c>
      <c r="G41" s="15" t="n">
        <f aca="false">C41-B41</f>
        <v>-9200</v>
      </c>
    </row>
    <row r="42" customFormat="false" ht="15" hidden="false" customHeight="false" outlineLevel="0" collapsed="false">
      <c r="A42" s="7" t="s">
        <v>175</v>
      </c>
      <c r="B42" s="7"/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8" t="s">
        <v>176</v>
      </c>
      <c r="B43" s="9" t="n">
        <v>-1200</v>
      </c>
      <c r="C43" s="9" t="n">
        <v>-1400</v>
      </c>
      <c r="D43" s="10" t="n">
        <f aca="false">IFERROR(B43/B$11,0)</f>
        <v>-0.00306826898491434</v>
      </c>
      <c r="E43" s="10" t="n">
        <f aca="false">IFERROR(C43/C$11,0)</f>
        <v>-0.00284552845528455</v>
      </c>
      <c r="F43" s="11" t="n">
        <f aca="false">IFERROR(C43/B43-1,"n.a.")</f>
        <v>0.166666666666667</v>
      </c>
      <c r="G43" s="12" t="n">
        <f aca="false">C43-B43</f>
        <v>-200</v>
      </c>
      <c r="H43" s="13" t="s">
        <v>177</v>
      </c>
    </row>
    <row r="44" customFormat="false" ht="15" hidden="false" customHeight="false" outlineLevel="0" collapsed="false">
      <c r="A44" s="8" t="s">
        <v>178</v>
      </c>
      <c r="B44" s="12" t="n">
        <f aca="false">-ROUND((B41+B43)*Dados!$B$84,-1)</f>
        <v>-22100</v>
      </c>
      <c r="C44" s="12" t="n">
        <f aca="false">-ROUND((C41+C43)*Dados!$B$84,-1)</f>
        <v>-17870</v>
      </c>
      <c r="D44" s="10" t="n">
        <f aca="false">IFERROR(B44/B$11,0)</f>
        <v>-0.0565072871388392</v>
      </c>
      <c r="E44" s="10" t="n">
        <f aca="false">IFERROR(C44/C$11,0)</f>
        <v>-0.0363211382113821</v>
      </c>
      <c r="F44" s="11" t="n">
        <f aca="false">IFERROR(C44/B44-1,"n.a.")</f>
        <v>-0.191402714932127</v>
      </c>
      <c r="G44" s="12" t="n">
        <f aca="false">C44-B44</f>
        <v>4230</v>
      </c>
      <c r="H44" s="13" t="s">
        <v>179</v>
      </c>
    </row>
    <row r="45" customFormat="false" ht="15" hidden="false" customHeight="false" outlineLevel="0" collapsed="false">
      <c r="A45" s="8" t="s">
        <v>180</v>
      </c>
      <c r="B45" s="12" t="n">
        <f aca="false">-ROUND((B41+B43)*Dados!$B$85,-1)</f>
        <v>-2460</v>
      </c>
      <c r="C45" s="12" t="n">
        <f aca="false">-ROUND((C41+C43)*Dados!$B$85,-1)</f>
        <v>-1990</v>
      </c>
      <c r="D45" s="10" t="n">
        <f aca="false">IFERROR(B45/B$11,0)</f>
        <v>-0.00628995141907441</v>
      </c>
      <c r="E45" s="10" t="n">
        <f aca="false">IFERROR(C45/C$11,0)</f>
        <v>-0.00404471544715447</v>
      </c>
      <c r="F45" s="11" t="n">
        <f aca="false">IFERROR(C45/B45-1,"n.a.")</f>
        <v>-0.191056910569106</v>
      </c>
      <c r="G45" s="12" t="n">
        <f aca="false">C45-B45</f>
        <v>470</v>
      </c>
      <c r="H45" s="13" t="s">
        <v>181</v>
      </c>
    </row>
    <row r="46" customFormat="false" ht="15" hidden="false" customHeight="false" outlineLevel="0" collapsed="false">
      <c r="A46" s="14" t="s">
        <v>182</v>
      </c>
      <c r="B46" s="15" t="n">
        <f aca="false">B41+B43+B44+B45</f>
        <v>24540</v>
      </c>
      <c r="C46" s="15" t="n">
        <f aca="false">C41+C43+C44+C45</f>
        <v>19840</v>
      </c>
      <c r="D46" s="16" t="n">
        <f aca="false">IFERROR(B46/B$11,0)</f>
        <v>0.0627461007414983</v>
      </c>
      <c r="E46" s="16" t="n">
        <f aca="false">IFERROR(C46/C$11,0)</f>
        <v>0.0403252032520325</v>
      </c>
      <c r="F46" s="17" t="n">
        <f aca="false">IFERROR(C46/B46-1,"n.a.")</f>
        <v>-0.191524042379788</v>
      </c>
      <c r="G46" s="15" t="n">
        <f aca="false">C46-B46</f>
        <v>-4700</v>
      </c>
      <c r="H46" s="18" t="s">
        <v>183</v>
      </c>
    </row>
    <row r="48" customFormat="false" ht="15" hidden="false" customHeight="false" outlineLevel="0" collapsed="false">
      <c r="A48" s="19" t="s">
        <v>184</v>
      </c>
      <c r="B48" s="12" t="n">
        <f aca="false">B46-BP!$B$41</f>
        <v>0</v>
      </c>
      <c r="C48" s="12" t="n">
        <f aca="false">C46-BP!$C$41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185</v>
      </c>
      <c r="B1" s="2"/>
      <c r="C1" s="2"/>
      <c r="D1" s="2"/>
      <c r="E1" s="2"/>
    </row>
    <row r="2" customFormat="false" ht="15" hidden="false" customHeight="false" outlineLevel="0" collapsed="false">
      <c r="A2" s="5" t="s">
        <v>186</v>
      </c>
    </row>
    <row r="4" customFormat="false" ht="15" hidden="false" customHeight="false" outlineLevel="0" collapsed="false">
      <c r="A4" s="6" t="s">
        <v>21</v>
      </c>
      <c r="B4" s="6" t="s">
        <v>111</v>
      </c>
      <c r="C4" s="6" t="s">
        <v>112</v>
      </c>
      <c r="D4" s="6" t="s">
        <v>26</v>
      </c>
      <c r="E4" s="6" t="s">
        <v>187</v>
      </c>
    </row>
    <row r="5" customFormat="false" ht="15" hidden="false" customHeight="false" outlineLevel="0" collapsed="false">
      <c r="A5" s="8" t="s">
        <v>188</v>
      </c>
      <c r="B5" s="20" t="n">
        <f aca="false">DSP!$B$6</f>
        <v>290900</v>
      </c>
      <c r="C5" s="20" t="n">
        <f aca="false">DSP!$C$6</f>
        <v>345400</v>
      </c>
      <c r="D5" s="10" t="n">
        <f aca="false">IFERROR(C5/B5-1,"n.a.")</f>
        <v>0.187349604675146</v>
      </c>
      <c r="E5" s="13" t="s">
        <v>189</v>
      </c>
    </row>
    <row r="6" customFormat="false" ht="15" hidden="false" customHeight="false" outlineLevel="0" collapsed="false">
      <c r="A6" s="8" t="s">
        <v>190</v>
      </c>
      <c r="B6" s="12" t="n">
        <f aca="false">DSP!$B$8+DSP!$B$9+DSP!$B$10</f>
        <v>93200</v>
      </c>
      <c r="C6" s="12" t="n">
        <f aca="false">DSP!$C$8+DSP!$C$9+DSP!$C$10</f>
        <v>137600</v>
      </c>
      <c r="D6" s="10" t="n">
        <f aca="false">IFERROR(C6/B6-1,"n.a.")</f>
        <v>0.476394849785408</v>
      </c>
      <c r="E6" s="13" t="s">
        <v>191</v>
      </c>
    </row>
    <row r="7" customFormat="false" ht="15" hidden="false" customHeight="false" outlineLevel="0" collapsed="false">
      <c r="A7" s="8" t="s">
        <v>192</v>
      </c>
      <c r="B7" s="20" t="n">
        <f aca="false">DSP!$B$18</f>
        <v>-166500</v>
      </c>
      <c r="C7" s="20" t="n">
        <f aca="false">DSP!$C$18</f>
        <v>-247100</v>
      </c>
      <c r="D7" s="10" t="n">
        <f aca="false">IFERROR(C7/B7-1,"n.a.")</f>
        <v>0.484084084084084</v>
      </c>
      <c r="E7" s="13" t="s">
        <v>193</v>
      </c>
    </row>
    <row r="8" customFormat="false" ht="15" hidden="false" customHeight="false" outlineLevel="0" collapsed="false">
      <c r="A8" s="8" t="s">
        <v>194</v>
      </c>
      <c r="B8" s="20" t="n">
        <f aca="false">DSP!$B$21</f>
        <v>-24400</v>
      </c>
      <c r="C8" s="20" t="n">
        <f aca="false">DSP!$C$21</f>
        <v>-31100</v>
      </c>
      <c r="D8" s="10" t="n">
        <f aca="false">IFERROR(C8/B8-1,"n.a.")</f>
        <v>0.274590163934426</v>
      </c>
      <c r="E8" s="13" t="s">
        <v>195</v>
      </c>
    </row>
    <row r="9" customFormat="false" ht="15" hidden="false" customHeight="false" outlineLevel="0" collapsed="false">
      <c r="A9" s="14" t="s">
        <v>196</v>
      </c>
      <c r="B9" s="15" t="n">
        <f aca="false">SUM(B5:B8)</f>
        <v>193200</v>
      </c>
      <c r="C9" s="15" t="n">
        <f aca="false">SUM(C5:C8)</f>
        <v>204800</v>
      </c>
      <c r="D9" s="16" t="n">
        <f aca="false">IFERROR(C9/B9-1,"n.a.")</f>
        <v>0.0600414078674949</v>
      </c>
      <c r="E9" s="13" t="s">
        <v>197</v>
      </c>
    </row>
    <row r="10" customFormat="false" ht="15" hidden="false" customHeight="false" outlineLevel="0" collapsed="false">
      <c r="A10" s="8" t="s">
        <v>198</v>
      </c>
      <c r="B10" s="12" t="n">
        <f aca="false">DSP!$B$26+DSP!$B$27</f>
        <v>53500</v>
      </c>
      <c r="C10" s="12" t="n">
        <f aca="false">DSP!$C$26+DSP!$C$27</f>
        <v>62000</v>
      </c>
      <c r="D10" s="10" t="n">
        <f aca="false">IFERROR(C10/B10-1,"n.a.")</f>
        <v>0.158878504672897</v>
      </c>
      <c r="E10" s="13"/>
    </row>
    <row r="11" customFormat="false" ht="15" hidden="false" customHeight="false" outlineLevel="0" collapsed="false">
      <c r="A11" s="8" t="s">
        <v>199</v>
      </c>
      <c r="B11" s="12" t="n">
        <f aca="false">DSP!$B$31+DSP!$B$32+DSP!$B$30+DSP!$B$33</f>
        <v>-10900</v>
      </c>
      <c r="C11" s="12" t="n">
        <f aca="false">DSP!$C$31+DSP!$C$32+DSP!$C$30+DSP!$C$33</f>
        <v>-9600</v>
      </c>
      <c r="D11" s="10" t="n">
        <f aca="false">IFERROR(C11/B11-1,"n.a.")</f>
        <v>-0.119266055045872</v>
      </c>
      <c r="E11" s="13" t="s">
        <v>200</v>
      </c>
    </row>
    <row r="12" customFormat="false" ht="15" hidden="false" customHeight="false" outlineLevel="0" collapsed="false">
      <c r="A12" s="14" t="s">
        <v>201</v>
      </c>
      <c r="B12" s="15" t="n">
        <f aca="false">B9+B10+B11</f>
        <v>235800</v>
      </c>
      <c r="C12" s="15" t="n">
        <f aca="false">C9+C10+C11</f>
        <v>257200</v>
      </c>
      <c r="D12" s="16" t="n">
        <f aca="false">IFERROR(C12/B12-1,"n.a.")</f>
        <v>0.0907548770144191</v>
      </c>
      <c r="E12" s="13" t="s">
        <v>202</v>
      </c>
    </row>
    <row r="13" customFormat="false" ht="15" hidden="false" customHeight="false" outlineLevel="0" collapsed="false">
      <c r="A13" s="8" t="s">
        <v>203</v>
      </c>
      <c r="B13" s="12" t="n">
        <f aca="false">DSP!$B$28+DSP!$B$29</f>
        <v>-138000</v>
      </c>
      <c r="C13" s="12" t="n">
        <f aca="false">DSP!$C$28+DSP!$C$29</f>
        <v>-152000</v>
      </c>
      <c r="D13" s="10" t="n">
        <f aca="false">IFERROR(C13/B13-1,"n.a.")</f>
        <v>0.101449275362319</v>
      </c>
      <c r="E13" s="13" t="s">
        <v>204</v>
      </c>
    </row>
    <row r="14" customFormat="false" ht="15" hidden="false" customHeight="false" outlineLevel="0" collapsed="false">
      <c r="A14" s="8" t="s">
        <v>205</v>
      </c>
      <c r="B14" s="12" t="n">
        <f aca="false">DSP!$B$22+DSP!$B$7</f>
        <v>-39000</v>
      </c>
      <c r="C14" s="12" t="n">
        <f aca="false">DSP!$C$22+DSP!$C$7</f>
        <v>-55000</v>
      </c>
      <c r="D14" s="10" t="n">
        <f aca="false">IFERROR(C14/B14-1,"n.a.")</f>
        <v>0.41025641025641</v>
      </c>
      <c r="E14" s="13" t="s">
        <v>206</v>
      </c>
    </row>
    <row r="15" customFormat="false" ht="15" hidden="false" customHeight="false" outlineLevel="0" collapsed="false">
      <c r="A15" s="14" t="s">
        <v>207</v>
      </c>
      <c r="B15" s="15" t="n">
        <f aca="false">B12+B13+B14</f>
        <v>58800</v>
      </c>
      <c r="C15" s="15" t="n">
        <f aca="false">C12+C13+C14</f>
        <v>50200</v>
      </c>
      <c r="D15" s="16" t="n">
        <f aca="false">IFERROR(C15/B15-1,"n.a.")</f>
        <v>-0.146258503401361</v>
      </c>
      <c r="E15" s="13"/>
    </row>
    <row r="16" customFormat="false" ht="15" hidden="false" customHeight="false" outlineLevel="0" collapsed="false">
      <c r="A16" s="8" t="s">
        <v>208</v>
      </c>
      <c r="B16" s="20" t="n">
        <f aca="false">DSP!$B$36</f>
        <v>300</v>
      </c>
      <c r="C16" s="20" t="n">
        <f aca="false">DSP!$C$36</f>
        <v>4200</v>
      </c>
      <c r="D16" s="10" t="n">
        <f aca="false">IFERROR(C16/B16-1,"n.a.")</f>
        <v>13</v>
      </c>
      <c r="E16" s="13"/>
    </row>
    <row r="17" customFormat="false" ht="15" hidden="false" customHeight="false" outlineLevel="0" collapsed="false">
      <c r="A17" s="8" t="s">
        <v>209</v>
      </c>
      <c r="B17" s="20" t="n">
        <f aca="false">DSP!$B$38</f>
        <v>-600</v>
      </c>
      <c r="C17" s="20" t="n">
        <f aca="false">DSP!$C$38</f>
        <v>-700</v>
      </c>
      <c r="D17" s="10" t="n">
        <f aca="false">IFERROR(C17/B17-1,"n.a.")</f>
        <v>0.166666666666667</v>
      </c>
      <c r="E17" s="13"/>
    </row>
    <row r="18" customFormat="false" ht="15" hidden="false" customHeight="false" outlineLevel="0" collapsed="false">
      <c r="A18" s="14" t="s">
        <v>210</v>
      </c>
      <c r="B18" s="15" t="n">
        <f aca="false">B15+B16+B17</f>
        <v>58500</v>
      </c>
      <c r="C18" s="15" t="n">
        <f aca="false">C15+C16+C17</f>
        <v>53700</v>
      </c>
      <c r="D18" s="16" t="n">
        <f aca="false">IFERROR(C18/B18-1,"n.a.")</f>
        <v>-0.0820512820512821</v>
      </c>
      <c r="E18" s="13" t="s">
        <v>211</v>
      </c>
    </row>
    <row r="19" customFormat="false" ht="15" hidden="false" customHeight="false" outlineLevel="0" collapsed="false">
      <c r="A19" s="8" t="s">
        <v>212</v>
      </c>
      <c r="B19" s="12" t="n">
        <f aca="false">B18-DSP!$B$39</f>
        <v>0</v>
      </c>
      <c r="C19" s="12" t="n">
        <f aca="false">C18-DSP!$C$39</f>
        <v>0</v>
      </c>
      <c r="E19" s="13"/>
    </row>
    <row r="20" customFormat="false" ht="15" hidden="false" customHeight="false" outlineLevel="0" collapsed="false">
      <c r="A20" s="8" t="s">
        <v>213</v>
      </c>
      <c r="B20" s="20" t="n">
        <f aca="false">Dados!$C$66</f>
        <v>-2200</v>
      </c>
      <c r="C20" s="20" t="n">
        <f aca="false">Dados!$D$66</f>
        <v>9200</v>
      </c>
      <c r="D20" s="10" t="n">
        <f aca="false">IFERROR(C20/B20-1,"n.a.")</f>
        <v>-5.18181818181818</v>
      </c>
      <c r="E20" s="13" t="s">
        <v>214</v>
      </c>
    </row>
    <row r="21" customFormat="false" ht="15" hidden="false" customHeight="false" outlineLevel="0" collapsed="false">
      <c r="A21" s="14" t="s">
        <v>215</v>
      </c>
      <c r="B21" s="15" t="n">
        <f aca="false">B18-B20</f>
        <v>60700</v>
      </c>
      <c r="C21" s="15" t="n">
        <f aca="false">C18-C20</f>
        <v>44500</v>
      </c>
      <c r="D21" s="16" t="n">
        <f aca="false">IFERROR(C21/B21-1,"n.a.")</f>
        <v>-0.266886326194399</v>
      </c>
      <c r="E21" s="13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217</v>
      </c>
      <c r="B1" s="2"/>
      <c r="C1" s="2"/>
      <c r="D1" s="2"/>
      <c r="E1" s="2"/>
    </row>
    <row r="2" customFormat="false" ht="15" hidden="false" customHeight="false" outlineLevel="0" collapsed="false">
      <c r="A2" s="5" t="s">
        <v>218</v>
      </c>
    </row>
    <row r="3" customFormat="false" ht="15" hidden="false" customHeight="false" outlineLevel="0" collapsed="false">
      <c r="A3" s="6" t="s">
        <v>219</v>
      </c>
      <c r="B3" s="6" t="s">
        <v>220</v>
      </c>
      <c r="C3" s="6" t="s">
        <v>111</v>
      </c>
      <c r="D3" s="6" t="s">
        <v>112</v>
      </c>
      <c r="E3" s="6" t="s">
        <v>221</v>
      </c>
    </row>
    <row r="4" customFormat="false" ht="15" hidden="false" customHeight="false" outlineLevel="0" collapsed="false">
      <c r="A4" s="7" t="s">
        <v>222</v>
      </c>
      <c r="B4" s="7"/>
      <c r="C4" s="7"/>
      <c r="D4" s="7"/>
      <c r="E4" s="7"/>
    </row>
    <row r="5" customFormat="false" ht="15" hidden="false" customHeight="false" outlineLevel="0" collapsed="false">
      <c r="A5" s="8" t="s">
        <v>223</v>
      </c>
      <c r="C5" s="21" t="n">
        <v>0.109</v>
      </c>
      <c r="D5" s="21" t="n">
        <v>0.143</v>
      </c>
      <c r="E5" s="5" t="s">
        <v>224</v>
      </c>
    </row>
    <row r="6" customFormat="false" ht="15" hidden="false" customHeight="false" outlineLevel="0" collapsed="false">
      <c r="A6" s="8" t="s">
        <v>225</v>
      </c>
      <c r="C6" s="21" t="n">
        <v>0.048</v>
      </c>
      <c r="D6" s="21" t="n">
        <v>0.045</v>
      </c>
      <c r="E6" s="5" t="s">
        <v>226</v>
      </c>
    </row>
    <row r="8" customFormat="false" ht="15" hidden="false" customHeight="false" outlineLevel="0" collapsed="false">
      <c r="A8" s="7" t="s">
        <v>227</v>
      </c>
      <c r="B8" s="7"/>
      <c r="C8" s="7"/>
      <c r="D8" s="7"/>
      <c r="E8" s="7"/>
    </row>
    <row r="9" customFormat="false" ht="15" hidden="false" customHeight="false" outlineLevel="0" collapsed="false">
      <c r="A9" s="8" t="s">
        <v>228</v>
      </c>
      <c r="B9" s="9" t="n">
        <v>2390000</v>
      </c>
      <c r="C9" s="20" t="n">
        <f aca="false">BP!$B$23</f>
        <v>2717540</v>
      </c>
      <c r="D9" s="20" t="n">
        <f aca="false">BP!$C$23</f>
        <v>3086080</v>
      </c>
    </row>
    <row r="10" customFormat="false" ht="15" hidden="false" customHeight="false" outlineLevel="0" collapsed="false">
      <c r="A10" s="8" t="s">
        <v>229</v>
      </c>
      <c r="B10" s="9" t="n">
        <v>25000</v>
      </c>
      <c r="C10" s="20" t="n">
        <f aca="false">BP!$B$6</f>
        <v>28000</v>
      </c>
      <c r="D10" s="20" t="n">
        <f aca="false">BP!$C$6</f>
        <v>31000</v>
      </c>
    </row>
    <row r="11" customFormat="false" ht="15" hidden="false" customHeight="false" outlineLevel="0" collapsed="false">
      <c r="A11" s="8" t="s">
        <v>230</v>
      </c>
      <c r="B11" s="9" t="n">
        <v>640000</v>
      </c>
      <c r="C11" s="20" t="n">
        <f aca="false">BP!$B$7</f>
        <v>695540</v>
      </c>
      <c r="D11" s="20" t="n">
        <f aca="false">BP!$C$7</f>
        <v>789080</v>
      </c>
    </row>
    <row r="12" customFormat="false" ht="15" hidden="false" customHeight="false" outlineLevel="0" collapsed="false">
      <c r="A12" s="8" t="s">
        <v>231</v>
      </c>
      <c r="B12" s="9" t="n">
        <v>50000</v>
      </c>
      <c r="C12" s="20" t="n">
        <f aca="false">BP!$B$8</f>
        <v>60000</v>
      </c>
      <c r="D12" s="20" t="n">
        <f aca="false">BP!$C$8</f>
        <v>85000</v>
      </c>
    </row>
    <row r="13" customFormat="false" ht="15" hidden="false" customHeight="false" outlineLevel="0" collapsed="false">
      <c r="A13" s="8" t="s">
        <v>232</v>
      </c>
      <c r="B13" s="9" t="n">
        <v>120000</v>
      </c>
      <c r="C13" s="20" t="n">
        <f aca="false">BP!$B$9</f>
        <v>140000</v>
      </c>
      <c r="D13" s="20" t="n">
        <f aca="false">BP!$C$9</f>
        <v>150000</v>
      </c>
    </row>
    <row r="14" customFormat="false" ht="15" hidden="false" customHeight="false" outlineLevel="0" collapsed="false">
      <c r="A14" s="8" t="s">
        <v>233</v>
      </c>
      <c r="B14" s="12" t="n">
        <f aca="false">Dados!$B$11+Dados!$B$12+Dados!$B$13</f>
        <v>810000</v>
      </c>
      <c r="C14" s="12" t="n">
        <f aca="false">Dados!$C$11+Dados!$C$12+Dados!$C$13</f>
        <v>895540</v>
      </c>
      <c r="D14" s="12" t="n">
        <f aca="false">Dados!$D$11+Dados!$D$12+Dados!$D$13</f>
        <v>1024080</v>
      </c>
    </row>
    <row r="15" customFormat="false" ht="15" hidden="false" customHeight="false" outlineLevel="0" collapsed="false">
      <c r="A15" s="8" t="s">
        <v>234</v>
      </c>
      <c r="B15" s="12" t="n">
        <f aca="false">Dados!$B$10+Dados!$B$14</f>
        <v>835000</v>
      </c>
      <c r="C15" s="12" t="n">
        <f aca="false">Dados!$C$10+Dados!$C$14</f>
        <v>923540</v>
      </c>
      <c r="D15" s="12" t="n">
        <f aca="false">Dados!$D$10+Dados!$D$14</f>
        <v>1055080</v>
      </c>
    </row>
    <row r="16" customFormat="false" ht="15" hidden="false" customHeight="false" outlineLevel="0" collapsed="false">
      <c r="A16" s="8" t="s">
        <v>235</v>
      </c>
      <c r="B16" s="9" t="n">
        <v>990000</v>
      </c>
      <c r="C16" s="12" t="n">
        <f aca="false">BP!$B$10+BP!$B$11</f>
        <v>1120000</v>
      </c>
      <c r="D16" s="12" t="n">
        <f aca="false">BP!$C$10+BP!$C$11</f>
        <v>1280000</v>
      </c>
    </row>
    <row r="17" customFormat="false" ht="15" hidden="false" customHeight="false" outlineLevel="0" collapsed="false">
      <c r="A17" s="8" t="s">
        <v>236</v>
      </c>
      <c r="B17" s="9" t="n">
        <v>460000</v>
      </c>
      <c r="C17" s="20" t="n">
        <f aca="false">BP!$B$12</f>
        <v>520000</v>
      </c>
      <c r="D17" s="20" t="n">
        <f aca="false">BP!$C$12</f>
        <v>590000</v>
      </c>
    </row>
    <row r="18" customFormat="false" ht="15" hidden="false" customHeight="false" outlineLevel="0" collapsed="false">
      <c r="A18" s="8" t="s">
        <v>237</v>
      </c>
      <c r="B18" s="12" t="n">
        <f aca="false">Dados!$B$16+Dados!$B$17</f>
        <v>1450000</v>
      </c>
      <c r="C18" s="20" t="n">
        <f aca="false">BP!$B$13</f>
        <v>1640000</v>
      </c>
      <c r="D18" s="20" t="n">
        <f aca="false">BP!$C$13</f>
        <v>1870000</v>
      </c>
    </row>
    <row r="19" customFormat="false" ht="15" hidden="false" customHeight="false" outlineLevel="0" collapsed="false">
      <c r="A19" s="8" t="s">
        <v>238</v>
      </c>
      <c r="B19" s="9" t="n">
        <v>-68000</v>
      </c>
      <c r="C19" s="20" t="n">
        <f aca="false">BP!$B$14</f>
        <v>-82000</v>
      </c>
      <c r="D19" s="20" t="n">
        <f aca="false">BP!$C$14</f>
        <v>-108000</v>
      </c>
    </row>
    <row r="20" customFormat="false" ht="15" hidden="false" customHeight="false" outlineLevel="0" collapsed="false">
      <c r="A20" s="8" t="s">
        <v>67</v>
      </c>
      <c r="B20" s="9" t="n">
        <v>360000</v>
      </c>
      <c r="C20" s="20" t="n">
        <f aca="false">BP!$B$25</f>
        <v>390000</v>
      </c>
      <c r="D20" s="20" t="n">
        <f aca="false">BP!$C$25</f>
        <v>410000</v>
      </c>
    </row>
    <row r="21" customFormat="false" ht="15" hidden="false" customHeight="false" outlineLevel="0" collapsed="false">
      <c r="A21" s="8" t="s">
        <v>239</v>
      </c>
      <c r="B21" s="9" t="n">
        <v>190000</v>
      </c>
      <c r="C21" s="20" t="n">
        <f aca="false">BP!$B$26</f>
        <v>210000</v>
      </c>
      <c r="D21" s="20" t="n">
        <f aca="false">BP!$C$26</f>
        <v>235000</v>
      </c>
    </row>
    <row r="22" customFormat="false" ht="15" hidden="false" customHeight="false" outlineLevel="0" collapsed="false">
      <c r="A22" s="8" t="s">
        <v>240</v>
      </c>
      <c r="B22" s="9" t="n">
        <v>1150000</v>
      </c>
      <c r="C22" s="20" t="n">
        <f aca="false">BP!$B$27</f>
        <v>1330000</v>
      </c>
      <c r="D22" s="20" t="n">
        <f aca="false">BP!$C$27</f>
        <v>1520000</v>
      </c>
    </row>
    <row r="23" customFormat="false" ht="15" hidden="false" customHeight="false" outlineLevel="0" collapsed="false">
      <c r="A23" s="8" t="s">
        <v>241</v>
      </c>
      <c r="B23" s="12" t="n">
        <f aca="false">Dados!$B$20+Dados!$B$21+Dados!$B$22</f>
        <v>1700000</v>
      </c>
      <c r="C23" s="20" t="n">
        <f aca="false">BP!$B$28</f>
        <v>1930000</v>
      </c>
      <c r="D23" s="20" t="n">
        <f aca="false">BP!$C$28</f>
        <v>2165000</v>
      </c>
    </row>
    <row r="24" customFormat="false" ht="15" hidden="false" customHeight="false" outlineLevel="0" collapsed="false">
      <c r="A24" s="8" t="s">
        <v>242</v>
      </c>
      <c r="B24" s="9" t="n">
        <v>95000</v>
      </c>
      <c r="C24" s="20" t="n">
        <f aca="false">BP!$B$29</f>
        <v>120000</v>
      </c>
      <c r="D24" s="20" t="n">
        <f aca="false">BP!$C$29</f>
        <v>150000</v>
      </c>
    </row>
    <row r="25" customFormat="false" ht="15" hidden="false" customHeight="false" outlineLevel="0" collapsed="false">
      <c r="A25" s="8" t="s">
        <v>243</v>
      </c>
      <c r="B25" s="12" t="n">
        <f aca="false">Dados!$B$23+Dados!$B$24</f>
        <v>1795000</v>
      </c>
      <c r="C25" s="12" t="n">
        <f aca="false">Dados!$C$23+Dados!$C$24</f>
        <v>2050000</v>
      </c>
      <c r="D25" s="12" t="n">
        <f aca="false">Dados!$D$23+Dados!$D$24</f>
        <v>2315000</v>
      </c>
    </row>
    <row r="26" customFormat="false" ht="15" hidden="false" customHeight="false" outlineLevel="0" collapsed="false">
      <c r="A26" s="8" t="s">
        <v>244</v>
      </c>
      <c r="B26" s="9" t="n">
        <v>140000</v>
      </c>
      <c r="C26" s="20" t="n">
        <f aca="false">BP!$B$30</f>
        <v>160000</v>
      </c>
      <c r="D26" s="20" t="n">
        <f aca="false">BP!$C$30</f>
        <v>175000</v>
      </c>
    </row>
    <row r="27" customFormat="false" ht="15" hidden="false" customHeight="false" outlineLevel="0" collapsed="false">
      <c r="A27" s="8" t="s">
        <v>245</v>
      </c>
      <c r="B27" s="9" t="n">
        <v>105000</v>
      </c>
      <c r="C27" s="20" t="n">
        <f aca="false">BP!$B$31</f>
        <v>120000</v>
      </c>
      <c r="D27" s="20" t="n">
        <f aca="false">BP!$C$31</f>
        <v>140000</v>
      </c>
    </row>
    <row r="28" customFormat="false" ht="15" hidden="false" customHeight="false" outlineLevel="0" collapsed="false">
      <c r="A28" s="8" t="s">
        <v>246</v>
      </c>
      <c r="B28" s="9" t="n">
        <v>0</v>
      </c>
      <c r="C28" s="20" t="n">
        <f aca="false">BP!$B$32</f>
        <v>0</v>
      </c>
      <c r="D28" s="20" t="n">
        <f aca="false">BP!$C$32</f>
        <v>15000</v>
      </c>
    </row>
    <row r="29" customFormat="false" ht="15" hidden="false" customHeight="false" outlineLevel="0" collapsed="false">
      <c r="A29" s="8" t="s">
        <v>247</v>
      </c>
      <c r="B29" s="9" t="n">
        <v>280000</v>
      </c>
      <c r="C29" s="20" t="n">
        <f aca="false">BP!$B$43</f>
        <v>305540</v>
      </c>
      <c r="D29" s="20" t="n">
        <f aca="false">BP!$C$43</f>
        <v>349080</v>
      </c>
    </row>
    <row r="30" customFormat="false" ht="15" hidden="false" customHeight="false" outlineLevel="0" collapsed="false">
      <c r="A30" s="8" t="s">
        <v>94</v>
      </c>
      <c r="B30" s="9" t="n">
        <v>120000</v>
      </c>
      <c r="C30" s="20" t="n">
        <f aca="false">BP!$B$39</f>
        <v>130000</v>
      </c>
      <c r="D30" s="20" t="n">
        <f aca="false">BP!$C$39</f>
        <v>159870</v>
      </c>
    </row>
    <row r="32" customFormat="false" ht="15" hidden="false" customHeight="false" outlineLevel="0" collapsed="false">
      <c r="A32" s="7" t="s">
        <v>248</v>
      </c>
      <c r="B32" s="7"/>
      <c r="C32" s="7"/>
      <c r="D32" s="7"/>
      <c r="E32" s="7"/>
    </row>
    <row r="33" customFormat="false" ht="15" hidden="false" customHeight="false" outlineLevel="0" collapsed="false">
      <c r="A33" s="8" t="s">
        <v>249</v>
      </c>
      <c r="C33" s="9" t="n">
        <v>1548000</v>
      </c>
      <c r="D33" s="9" t="n">
        <v>1735000</v>
      </c>
    </row>
    <row r="34" customFormat="false" ht="15" hidden="false" customHeight="false" outlineLevel="0" collapsed="false">
      <c r="A34" s="8" t="s">
        <v>250</v>
      </c>
      <c r="C34" s="9" t="n">
        <v>25000</v>
      </c>
      <c r="D34" s="9" t="n">
        <v>30000</v>
      </c>
    </row>
    <row r="35" customFormat="false" ht="15" hidden="false" customHeight="false" outlineLevel="0" collapsed="false">
      <c r="A35" s="8" t="s">
        <v>251</v>
      </c>
      <c r="C35" s="9" t="n">
        <v>16000</v>
      </c>
      <c r="D35" s="9" t="n">
        <v>20000</v>
      </c>
    </row>
    <row r="36" customFormat="false" ht="15" hidden="false" customHeight="false" outlineLevel="0" collapsed="false">
      <c r="A36" s="8" t="s">
        <v>252</v>
      </c>
      <c r="C36" s="9" t="n">
        <v>12000</v>
      </c>
      <c r="D36" s="9" t="n">
        <v>18000</v>
      </c>
    </row>
    <row r="37" customFormat="false" ht="15" hidden="false" customHeight="false" outlineLevel="0" collapsed="false">
      <c r="A37" s="8" t="s">
        <v>253</v>
      </c>
      <c r="C37" s="9" t="n">
        <v>8000</v>
      </c>
      <c r="D37" s="9" t="n">
        <v>12000</v>
      </c>
    </row>
    <row r="38" customFormat="false" ht="15" hidden="false" customHeight="false" outlineLevel="0" collapsed="false">
      <c r="A38" s="8" t="s">
        <v>254</v>
      </c>
      <c r="C38" s="9" t="n">
        <v>31000</v>
      </c>
      <c r="D38" s="9" t="n">
        <v>55000</v>
      </c>
    </row>
    <row r="39" customFormat="false" ht="15" hidden="false" customHeight="false" outlineLevel="0" collapsed="false">
      <c r="A39" s="8" t="s">
        <v>255</v>
      </c>
      <c r="C39" s="12" t="n">
        <f aca="false">SUM(C33:C38)</f>
        <v>1640000</v>
      </c>
      <c r="D39" s="12" t="n">
        <f aca="false">SUM(D33:D38)</f>
        <v>1870000</v>
      </c>
    </row>
    <row r="41" customFormat="false" ht="15" hidden="false" customHeight="false" outlineLevel="0" collapsed="false">
      <c r="A41" s="7" t="s">
        <v>256</v>
      </c>
      <c r="B41" s="7"/>
      <c r="C41" s="7"/>
      <c r="D41" s="7"/>
      <c r="E41" s="7"/>
    </row>
    <row r="42" customFormat="false" ht="15" hidden="false" customHeight="false" outlineLevel="0" collapsed="false">
      <c r="A42" s="8" t="s">
        <v>257</v>
      </c>
      <c r="C42" s="9" t="n">
        <v>1462000</v>
      </c>
      <c r="D42" s="9" t="n">
        <v>1640000</v>
      </c>
    </row>
    <row r="43" customFormat="false" ht="15" hidden="false" customHeight="false" outlineLevel="0" collapsed="false">
      <c r="A43" s="8" t="s">
        <v>258</v>
      </c>
      <c r="C43" s="9" t="n">
        <v>120000</v>
      </c>
      <c r="D43" s="9" t="n">
        <v>150000</v>
      </c>
    </row>
    <row r="44" customFormat="false" ht="15" hidden="false" customHeight="false" outlineLevel="0" collapsed="false">
      <c r="A44" s="8" t="s">
        <v>259</v>
      </c>
      <c r="C44" s="9" t="n">
        <v>58000</v>
      </c>
      <c r="D44" s="9" t="n">
        <v>80000</v>
      </c>
    </row>
    <row r="45" customFormat="false" ht="15" hidden="false" customHeight="false" outlineLevel="0" collapsed="false">
      <c r="A45" s="8" t="s">
        <v>260</v>
      </c>
      <c r="C45" s="9" t="n">
        <v>21930</v>
      </c>
      <c r="D45" s="9" t="n">
        <v>26240</v>
      </c>
    </row>
    <row r="46" customFormat="false" ht="15" hidden="false" customHeight="false" outlineLevel="0" collapsed="false">
      <c r="A46" s="8" t="s">
        <v>261</v>
      </c>
      <c r="C46" s="9" t="n">
        <v>13200</v>
      </c>
      <c r="D46" s="9" t="n">
        <v>18000</v>
      </c>
    </row>
    <row r="47" customFormat="false" ht="15" hidden="false" customHeight="false" outlineLevel="0" collapsed="false">
      <c r="A47" s="8" t="s">
        <v>262</v>
      </c>
      <c r="C47" s="9" t="n">
        <v>46870</v>
      </c>
      <c r="D47" s="9" t="n">
        <v>63760</v>
      </c>
    </row>
    <row r="48" customFormat="false" ht="15" hidden="false" customHeight="false" outlineLevel="0" collapsed="false">
      <c r="A48" s="8" t="s">
        <v>263</v>
      </c>
      <c r="C48" s="9" t="n">
        <v>70000</v>
      </c>
      <c r="D48" s="9" t="n">
        <v>92000</v>
      </c>
    </row>
    <row r="49" customFormat="false" ht="15" hidden="false" customHeight="false" outlineLevel="0" collapsed="false">
      <c r="A49" s="8" t="s">
        <v>264</v>
      </c>
      <c r="C49" s="9" t="n">
        <v>12000</v>
      </c>
      <c r="D49" s="9" t="n">
        <v>16000</v>
      </c>
    </row>
    <row r="50" customFormat="false" ht="15" hidden="false" customHeight="false" outlineLevel="0" collapsed="false">
      <c r="A50" s="8" t="s">
        <v>265</v>
      </c>
      <c r="C50" s="9" t="n">
        <v>41000</v>
      </c>
      <c r="D50" s="9" t="n">
        <v>62000</v>
      </c>
    </row>
    <row r="51" customFormat="false" ht="15" hidden="false" customHeight="false" outlineLevel="0" collapsed="false">
      <c r="A51" s="8" t="s">
        <v>266</v>
      </c>
      <c r="C51" s="22" t="n">
        <v>0.06</v>
      </c>
      <c r="D51" s="22" t="n">
        <v>0.065</v>
      </c>
    </row>
    <row r="53" customFormat="false" ht="15" hidden="false" customHeight="false" outlineLevel="0" collapsed="false">
      <c r="A53" s="7" t="s">
        <v>267</v>
      </c>
      <c r="B53" s="7"/>
      <c r="C53" s="7"/>
      <c r="D53" s="7"/>
      <c r="E53" s="7"/>
    </row>
    <row r="54" customFormat="false" ht="15" hidden="false" customHeight="false" outlineLevel="0" collapsed="false">
      <c r="A54" s="8" t="s">
        <v>268</v>
      </c>
      <c r="C54" s="9" t="n">
        <v>232100</v>
      </c>
      <c r="D54" s="9" t="n">
        <v>276000</v>
      </c>
    </row>
    <row r="55" customFormat="false" ht="15" hidden="false" customHeight="false" outlineLevel="0" collapsed="false">
      <c r="A55" s="8" t="s">
        <v>269</v>
      </c>
      <c r="C55" s="9" t="n">
        <v>58800</v>
      </c>
      <c r="D55" s="9" t="n">
        <v>69400</v>
      </c>
    </row>
    <row r="57" customFormat="false" ht="15" hidden="false" customHeight="false" outlineLevel="0" collapsed="false">
      <c r="A57" s="7" t="s">
        <v>270</v>
      </c>
      <c r="B57" s="7"/>
      <c r="C57" s="7"/>
      <c r="D57" s="7"/>
      <c r="E57" s="7"/>
    </row>
    <row r="58" customFormat="false" ht="15" hidden="false" customHeight="false" outlineLevel="0" collapsed="false">
      <c r="A58" s="8" t="s">
        <v>271</v>
      </c>
      <c r="B58" s="23" t="n">
        <v>91000</v>
      </c>
      <c r="C58" s="23" t="n">
        <v>98000</v>
      </c>
      <c r="D58" s="23" t="n">
        <v>106000</v>
      </c>
    </row>
    <row r="59" customFormat="false" ht="15" hidden="false" customHeight="false" outlineLevel="0" collapsed="false">
      <c r="A59" s="8" t="s">
        <v>272</v>
      </c>
      <c r="C59" s="22" t="n">
        <v>0.08</v>
      </c>
      <c r="D59" s="22" t="n">
        <v>0.095</v>
      </c>
    </row>
    <row r="61" customFormat="false" ht="15" hidden="false" customHeight="false" outlineLevel="0" collapsed="false">
      <c r="A61" s="7" t="s">
        <v>273</v>
      </c>
      <c r="B61" s="7"/>
      <c r="C61" s="7"/>
      <c r="D61" s="7"/>
      <c r="E61" s="7"/>
    </row>
    <row r="62" customFormat="false" ht="15" hidden="false" customHeight="false" outlineLevel="0" collapsed="false">
      <c r="A62" s="8" t="s">
        <v>274</v>
      </c>
      <c r="C62" s="9" t="n">
        <v>-2500</v>
      </c>
      <c r="D62" s="9" t="n">
        <v>0</v>
      </c>
    </row>
    <row r="63" customFormat="false" ht="15" hidden="false" customHeight="false" outlineLevel="0" collapsed="false">
      <c r="A63" s="8" t="s">
        <v>275</v>
      </c>
      <c r="C63" s="9" t="n">
        <v>300</v>
      </c>
      <c r="D63" s="9" t="n">
        <v>4200</v>
      </c>
    </row>
    <row r="64" customFormat="false" ht="15" hidden="false" customHeight="false" outlineLevel="0" collapsed="false">
      <c r="A64" s="8" t="s">
        <v>276</v>
      </c>
      <c r="C64" s="9" t="n">
        <v>0</v>
      </c>
      <c r="D64" s="9" t="n">
        <v>3000</v>
      </c>
    </row>
    <row r="65" customFormat="false" ht="15" hidden="false" customHeight="false" outlineLevel="0" collapsed="false">
      <c r="A65" s="8" t="s">
        <v>277</v>
      </c>
      <c r="C65" s="9" t="n">
        <v>0</v>
      </c>
      <c r="D65" s="9" t="n">
        <v>2000</v>
      </c>
    </row>
    <row r="66" customFormat="false" ht="15" hidden="false" customHeight="false" outlineLevel="0" collapsed="false">
      <c r="A66" s="8" t="s">
        <v>278</v>
      </c>
      <c r="C66" s="12" t="n">
        <f aca="false">SUM(C62:C65)</f>
        <v>-2200</v>
      </c>
      <c r="D66" s="12" t="n">
        <f aca="false">SUM(D62:D65)</f>
        <v>9200</v>
      </c>
    </row>
    <row r="68" customFormat="false" ht="15" hidden="false" customHeight="false" outlineLevel="0" collapsed="false">
      <c r="A68" s="7" t="s">
        <v>279</v>
      </c>
      <c r="B68" s="7"/>
      <c r="C68" s="7"/>
      <c r="D68" s="7"/>
      <c r="E68" s="7"/>
    </row>
    <row r="69" customFormat="false" ht="15" hidden="false" customHeight="false" outlineLevel="0" collapsed="false">
      <c r="A69" s="8" t="s">
        <v>280</v>
      </c>
      <c r="C69" s="9" t="n">
        <v>6800</v>
      </c>
      <c r="D69" s="9" t="n">
        <v>7500</v>
      </c>
    </row>
    <row r="70" customFormat="false" ht="15" hidden="false" customHeight="false" outlineLevel="0" collapsed="false">
      <c r="A70" s="8" t="s">
        <v>281</v>
      </c>
      <c r="C70" s="9" t="n">
        <v>15500</v>
      </c>
      <c r="D70" s="9" t="n">
        <v>18000</v>
      </c>
    </row>
    <row r="72" customFormat="false" ht="15" hidden="false" customHeight="false" outlineLevel="0" collapsed="false">
      <c r="A72" s="7" t="s">
        <v>282</v>
      </c>
      <c r="B72" s="7"/>
      <c r="C72" s="7"/>
      <c r="D72" s="7"/>
      <c r="E72" s="7"/>
    </row>
    <row r="73" customFormat="false" ht="15" hidden="false" customHeight="false" outlineLevel="0" collapsed="false">
      <c r="A73" s="8" t="s">
        <v>283</v>
      </c>
      <c r="C73" s="9" t="n">
        <v>3000</v>
      </c>
      <c r="D73" s="9" t="n">
        <v>4000</v>
      </c>
    </row>
    <row r="74" customFormat="false" ht="15" hidden="false" customHeight="false" outlineLevel="0" collapsed="false">
      <c r="A74" s="8" t="s">
        <v>284</v>
      </c>
      <c r="C74" s="9" t="n">
        <v>3000</v>
      </c>
      <c r="D74" s="9" t="n">
        <v>3000</v>
      </c>
    </row>
    <row r="75" customFormat="false" ht="15" hidden="false" customHeight="false" outlineLevel="0" collapsed="false">
      <c r="A75" s="8" t="s">
        <v>285</v>
      </c>
      <c r="C75" s="12" t="n">
        <f aca="false">Gerencial!$B$9+Gerencial!$B$10</f>
        <v>246700</v>
      </c>
      <c r="D75" s="12" t="n">
        <f aca="false">Gerencial!$C$9+Gerencial!$C$10</f>
        <v>266800</v>
      </c>
      <c r="E75" s="5" t="s">
        <v>286</v>
      </c>
    </row>
    <row r="76" customFormat="false" ht="15" hidden="false" customHeight="false" outlineLevel="0" collapsed="false">
      <c r="A76" s="8" t="s">
        <v>287</v>
      </c>
      <c r="B76" s="9" t="n">
        <v>160000</v>
      </c>
    </row>
    <row r="77" customFormat="false" ht="15" hidden="false" customHeight="false" outlineLevel="0" collapsed="false">
      <c r="A77" s="8" t="s">
        <v>288</v>
      </c>
      <c r="B77" s="9" t="n">
        <v>180000</v>
      </c>
    </row>
    <row r="78" customFormat="false" ht="15" hidden="false" customHeight="false" outlineLevel="0" collapsed="false">
      <c r="A78" s="8" t="s">
        <v>289</v>
      </c>
      <c r="B78" s="22" t="n">
        <v>0.15</v>
      </c>
      <c r="E78" s="5" t="s">
        <v>290</v>
      </c>
    </row>
    <row r="79" customFormat="false" ht="15" hidden="false" customHeight="false" outlineLevel="0" collapsed="false">
      <c r="A79" s="8" t="s">
        <v>291</v>
      </c>
      <c r="B79" s="22" t="n">
        <v>0.08</v>
      </c>
    </row>
    <row r="80" customFormat="false" ht="15" hidden="false" customHeight="false" outlineLevel="0" collapsed="false">
      <c r="A80" s="8" t="s">
        <v>292</v>
      </c>
      <c r="B80" s="22" t="n">
        <v>0.105</v>
      </c>
      <c r="E80" s="5" t="s">
        <v>293</v>
      </c>
    </row>
    <row r="81" customFormat="false" ht="15" hidden="false" customHeight="false" outlineLevel="0" collapsed="false">
      <c r="A81" s="8" t="s">
        <v>294</v>
      </c>
      <c r="B81" s="22" t="n">
        <v>0.02</v>
      </c>
      <c r="E81" s="5" t="s">
        <v>295</v>
      </c>
    </row>
    <row r="82" customFormat="false" ht="15" hidden="false" customHeight="false" outlineLevel="0" collapsed="false">
      <c r="A82" s="8" t="s">
        <v>296</v>
      </c>
      <c r="B82" s="22" t="n">
        <v>1.1</v>
      </c>
    </row>
    <row r="83" customFormat="false" ht="15" hidden="false" customHeight="false" outlineLevel="0" collapsed="false">
      <c r="A83" s="8" t="s">
        <v>297</v>
      </c>
      <c r="B83" s="22" t="n">
        <v>0.3</v>
      </c>
      <c r="E83" s="5" t="s">
        <v>298</v>
      </c>
    </row>
    <row r="84" customFormat="false" ht="15" hidden="false" customHeight="false" outlineLevel="0" collapsed="false">
      <c r="A84" s="8" t="s">
        <v>299</v>
      </c>
      <c r="B84" s="22" t="n">
        <v>0.45</v>
      </c>
      <c r="E84" s="5" t="s">
        <v>300</v>
      </c>
    </row>
    <row r="85" customFormat="false" ht="15" hidden="false" customHeight="false" outlineLevel="0" collapsed="false">
      <c r="A85" s="8" t="s">
        <v>301</v>
      </c>
      <c r="B85" s="22" t="n">
        <v>0.05</v>
      </c>
      <c r="E85" s="5" t="s">
        <v>302</v>
      </c>
    </row>
    <row r="87" customFormat="false" ht="15" hidden="false" customHeight="false" outlineLevel="0" collapsed="false">
      <c r="A87" s="7" t="s">
        <v>303</v>
      </c>
      <c r="B87" s="7"/>
      <c r="C87" s="7"/>
      <c r="D87" s="7"/>
      <c r="E87" s="7"/>
    </row>
    <row r="88" customFormat="false" ht="15" hidden="false" customHeight="false" outlineLevel="0" collapsed="false">
      <c r="A88" s="8" t="s">
        <v>304</v>
      </c>
      <c r="B88" s="24" t="n">
        <v>0</v>
      </c>
    </row>
    <row r="89" customFormat="false" ht="15" hidden="false" customHeight="false" outlineLevel="0" collapsed="false">
      <c r="A89" s="8" t="s">
        <v>305</v>
      </c>
      <c r="B89" s="24" t="n">
        <v>0.2</v>
      </c>
    </row>
    <row r="90" customFormat="false" ht="15" hidden="false" customHeight="false" outlineLevel="0" collapsed="false">
      <c r="A90" s="8" t="s">
        <v>306</v>
      </c>
      <c r="B90" s="24" t="n">
        <v>0.2</v>
      </c>
    </row>
    <row r="91" customFormat="false" ht="15" hidden="false" customHeight="false" outlineLevel="0" collapsed="false">
      <c r="A91" s="8" t="s">
        <v>307</v>
      </c>
      <c r="B91" s="24" t="n">
        <v>0</v>
      </c>
    </row>
    <row r="92" customFormat="false" ht="15" hidden="false" customHeight="false" outlineLevel="0" collapsed="false">
      <c r="A92" s="8" t="s">
        <v>308</v>
      </c>
      <c r="B92" s="24" t="n">
        <v>0.85</v>
      </c>
    </row>
    <row r="93" customFormat="false" ht="15" hidden="false" customHeight="false" outlineLevel="0" collapsed="false">
      <c r="A93" s="8" t="s">
        <v>309</v>
      </c>
      <c r="B93" s="24" t="n">
        <v>0.75</v>
      </c>
    </row>
    <row r="94" customFormat="false" ht="15" hidden="false" customHeight="false" outlineLevel="0" collapsed="false">
      <c r="A94" s="8" t="s">
        <v>310</v>
      </c>
      <c r="B94" s="24" t="n">
        <v>1</v>
      </c>
    </row>
    <row r="95" customFormat="false" ht="15" hidden="false" customHeight="false" outlineLevel="0" collapsed="false">
      <c r="A95" s="8" t="s">
        <v>311</v>
      </c>
      <c r="B95" s="24" t="n">
        <v>1</v>
      </c>
    </row>
    <row r="96" customFormat="false" ht="15" hidden="false" customHeight="false" outlineLevel="0" collapsed="false">
      <c r="A96" s="8" t="s">
        <v>312</v>
      </c>
      <c r="B96" s="24" t="n">
        <v>1</v>
      </c>
    </row>
    <row r="97" customFormat="false" ht="15" hidden="false" customHeight="false" outlineLevel="0" collapsed="false">
      <c r="A97" s="8" t="s">
        <v>313</v>
      </c>
      <c r="B97" s="24" t="n">
        <v>1</v>
      </c>
    </row>
    <row r="98" customFormat="false" ht="15" hidden="false" customHeight="false" outlineLevel="0" collapsed="false">
      <c r="A98" s="8" t="s">
        <v>314</v>
      </c>
      <c r="B98" s="24" t="n">
        <v>1</v>
      </c>
    </row>
    <row r="99" customFormat="false" ht="15" hidden="false" customHeight="false" outlineLevel="0" collapsed="false">
      <c r="A99" s="8" t="s">
        <v>315</v>
      </c>
      <c r="B99" s="24" t="n">
        <v>0.75</v>
      </c>
    </row>
    <row r="101" customFormat="false" ht="15" hidden="false" customHeight="false" outlineLevel="0" collapsed="false">
      <c r="A101" s="7" t="s">
        <v>316</v>
      </c>
      <c r="B101" s="7"/>
      <c r="C101" s="7"/>
      <c r="D101" s="7"/>
      <c r="E101" s="7"/>
    </row>
    <row r="102" customFormat="false" ht="15" hidden="false" customHeight="false" outlineLevel="0" collapsed="false">
      <c r="A102" s="8" t="s">
        <v>317</v>
      </c>
      <c r="C102" s="21" t="n">
        <v>0.116</v>
      </c>
      <c r="D102" s="21" t="n">
        <v>0.15</v>
      </c>
    </row>
    <row r="103" customFormat="false" ht="15" hidden="false" customHeight="false" outlineLevel="0" collapsed="false">
      <c r="A103" s="8" t="s">
        <v>318</v>
      </c>
      <c r="C103" s="21" t="n">
        <v>0.09</v>
      </c>
      <c r="D103" s="21" t="n">
        <v>0.108</v>
      </c>
    </row>
    <row r="104" customFormat="false" ht="15" hidden="false" customHeight="false" outlineLevel="0" collapsed="false">
      <c r="A104" s="8" t="s">
        <v>319</v>
      </c>
      <c r="C104" s="21" t="n">
        <v>0.098</v>
      </c>
      <c r="D104" s="21" t="n">
        <v>0.129</v>
      </c>
    </row>
    <row r="105" customFormat="false" ht="15" hidden="false" customHeight="false" outlineLevel="0" collapsed="false">
      <c r="A105" s="8" t="s">
        <v>320</v>
      </c>
      <c r="C105" s="21" t="n">
        <v>0.094</v>
      </c>
      <c r="D105" s="21" t="n">
        <v>0.12</v>
      </c>
    </row>
    <row r="106" customFormat="false" ht="15" hidden="false" customHeight="false" outlineLevel="0" collapsed="false">
      <c r="A106" s="8" t="s">
        <v>321</v>
      </c>
      <c r="C106" s="21" t="n">
        <v>0.109</v>
      </c>
      <c r="D106" s="21" t="n">
        <v>0.143</v>
      </c>
    </row>
    <row r="107" customFormat="false" ht="15" hidden="false" customHeight="false" outlineLevel="0" collapsed="false">
      <c r="A107" s="8" t="s">
        <v>322</v>
      </c>
      <c r="C107" s="21" t="n">
        <v>0.104</v>
      </c>
      <c r="D107" s="21" t="n">
        <v>0.136</v>
      </c>
    </row>
    <row r="109" customFormat="false" ht="15" hidden="false" customHeight="false" outlineLevel="0" collapsed="false">
      <c r="A109" s="7" t="s">
        <v>323</v>
      </c>
      <c r="B109" s="7"/>
      <c r="C109" s="7"/>
      <c r="D109" s="7"/>
      <c r="E109" s="7"/>
    </row>
    <row r="110" customFormat="false" ht="15" hidden="false" customHeight="false" outlineLevel="0" collapsed="false">
      <c r="A110" s="8" t="s">
        <v>324</v>
      </c>
      <c r="B110" s="21" t="n">
        <v>0.035</v>
      </c>
    </row>
    <row r="111" customFormat="false" ht="15" hidden="false" customHeight="false" outlineLevel="0" collapsed="false">
      <c r="A111" s="8" t="s">
        <v>325</v>
      </c>
      <c r="B111" s="21" t="n">
        <v>0.015</v>
      </c>
    </row>
    <row r="112" customFormat="false" ht="15" hidden="false" customHeight="false" outlineLevel="0" collapsed="false">
      <c r="A112" s="8" t="s">
        <v>326</v>
      </c>
      <c r="B112" s="21" t="n">
        <v>0.038</v>
      </c>
    </row>
    <row r="113" customFormat="false" ht="15" hidden="false" customHeight="false" outlineLevel="0" collapsed="false">
      <c r="A113" s="8" t="s">
        <v>327</v>
      </c>
      <c r="B113" s="21" t="n">
        <v>0.01</v>
      </c>
    </row>
    <row r="114" customFormat="false" ht="15" hidden="false" customHeight="false" outlineLevel="0" collapsed="false">
      <c r="A114" s="8" t="s">
        <v>328</v>
      </c>
      <c r="B114" s="21" t="n">
        <v>0.125</v>
      </c>
      <c r="E114" s="5" t="s">
        <v>329</v>
      </c>
    </row>
    <row r="115" customFormat="false" ht="15" hidden="false" customHeight="false" outlineLevel="0" collapsed="false">
      <c r="A115" s="8" t="s">
        <v>330</v>
      </c>
      <c r="B115" s="22" t="n">
        <v>0.15</v>
      </c>
      <c r="E115" s="5" t="s">
        <v>331</v>
      </c>
    </row>
    <row r="117" customFormat="false" ht="15" hidden="false" customHeight="false" outlineLevel="0" collapsed="false">
      <c r="A117" s="7" t="s">
        <v>332</v>
      </c>
      <c r="B117" s="7"/>
      <c r="C117" s="7"/>
      <c r="D117" s="7"/>
      <c r="E117" s="7"/>
    </row>
    <row r="118" customFormat="false" ht="15" hidden="false" customHeight="false" outlineLevel="0" collapsed="false">
      <c r="A118" s="8" t="s">
        <v>333</v>
      </c>
      <c r="C118" s="22" t="n">
        <v>0.15</v>
      </c>
      <c r="D118" s="22" t="n">
        <v>0.15</v>
      </c>
    </row>
    <row r="119" customFormat="false" ht="15" hidden="false" customHeight="false" outlineLevel="0" collapsed="false">
      <c r="A119" s="8" t="s">
        <v>334</v>
      </c>
      <c r="C119" s="22" t="n">
        <v>0.1</v>
      </c>
      <c r="D119" s="22" t="n">
        <v>0.1</v>
      </c>
    </row>
    <row r="120" customFormat="false" ht="15" hidden="false" customHeight="false" outlineLevel="0" collapsed="false">
      <c r="A120" s="8" t="s">
        <v>335</v>
      </c>
      <c r="C120" s="22" t="n">
        <v>0.12</v>
      </c>
      <c r="D120" s="22" t="n">
        <v>0.12</v>
      </c>
    </row>
    <row r="121" customFormat="false" ht="15" hidden="false" customHeight="false" outlineLevel="0" collapsed="false">
      <c r="A121" s="8" t="s">
        <v>336</v>
      </c>
      <c r="C121" s="9" t="n">
        <v>18000</v>
      </c>
      <c r="D121" s="9" t="n">
        <v>20000</v>
      </c>
    </row>
    <row r="122" customFormat="false" ht="15" hidden="false" customHeight="false" outlineLevel="0" collapsed="false">
      <c r="A122" s="8" t="s">
        <v>337</v>
      </c>
      <c r="C122" s="9" t="n">
        <v>14000</v>
      </c>
      <c r="D122" s="9" t="n">
        <v>15000</v>
      </c>
    </row>
    <row r="123" customFormat="false" ht="15" hidden="false" customHeight="false" outlineLevel="0" collapsed="false">
      <c r="A123" s="8" t="s">
        <v>338</v>
      </c>
      <c r="C123" s="9" t="n">
        <v>280000</v>
      </c>
      <c r="D123" s="9" t="n">
        <v>320000</v>
      </c>
    </row>
    <row r="124" customFormat="false" ht="15" hidden="false" customHeight="false" outlineLevel="0" collapsed="false">
      <c r="A124" s="8" t="s">
        <v>339</v>
      </c>
      <c r="C124" s="22" t="n">
        <v>0.05</v>
      </c>
      <c r="D124" s="22" t="n">
        <v>0.05</v>
      </c>
    </row>
    <row r="125" customFormat="false" ht="15" hidden="false" customHeight="false" outlineLevel="0" collapsed="false">
      <c r="A125" s="8" t="s">
        <v>340</v>
      </c>
      <c r="C125" s="9" t="n">
        <v>11000</v>
      </c>
      <c r="D125" s="9" t="n">
        <v>12000</v>
      </c>
    </row>
    <row r="126" customFormat="false" ht="15" hidden="false" customHeight="false" outlineLevel="0" collapsed="false">
      <c r="A126" s="8" t="s">
        <v>341</v>
      </c>
      <c r="C126" s="9" t="n">
        <v>135000</v>
      </c>
      <c r="D126" s="9" t="n">
        <v>150000</v>
      </c>
    </row>
    <row r="127" customFormat="false" ht="15" hidden="false" customHeight="false" outlineLevel="0" collapsed="false">
      <c r="A127" s="8" t="s">
        <v>342</v>
      </c>
      <c r="C127" s="22" t="n">
        <v>0.5</v>
      </c>
      <c r="D127" s="22" t="n">
        <v>0.5</v>
      </c>
    </row>
    <row r="128" customFormat="false" ht="15" hidden="false" customHeight="false" outlineLevel="0" collapsed="false">
      <c r="A128" s="8" t="s">
        <v>343</v>
      </c>
      <c r="C128" s="9" t="n">
        <v>25000</v>
      </c>
      <c r="D128" s="9" t="n">
        <v>30000</v>
      </c>
    </row>
    <row r="129" customFormat="false" ht="15" hidden="false" customHeight="false" outlineLevel="0" collapsed="false">
      <c r="A129" s="8" t="s">
        <v>344</v>
      </c>
      <c r="B129" s="22" t="n">
        <v>0.75</v>
      </c>
    </row>
    <row r="131" customFormat="false" ht="15" hidden="false" customHeight="false" outlineLevel="0" collapsed="false">
      <c r="A131" s="7" t="s">
        <v>345</v>
      </c>
      <c r="B131" s="7"/>
      <c r="C131" s="7"/>
      <c r="D131" s="7"/>
      <c r="E131" s="7"/>
    </row>
    <row r="132" customFormat="false" ht="15" hidden="false" customHeight="false" outlineLevel="0" collapsed="false">
      <c r="A132" s="8" t="s">
        <v>346</v>
      </c>
      <c r="B132" s="9" t="n">
        <v>14000</v>
      </c>
    </row>
    <row r="133" customFormat="false" ht="15" hidden="false" customHeight="false" outlineLevel="0" collapsed="false">
      <c r="A133" s="8" t="s">
        <v>347</v>
      </c>
      <c r="B133" s="9" t="n">
        <v>-9000</v>
      </c>
    </row>
    <row r="134" customFormat="false" ht="15" hidden="false" customHeight="false" outlineLevel="0" collapsed="false">
      <c r="A134" s="8" t="s">
        <v>348</v>
      </c>
      <c r="B134" s="22" t="n">
        <v>0.5</v>
      </c>
      <c r="E134" s="5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55"/>
  </cols>
  <sheetData>
    <row r="1" customFormat="false" ht="16.15" hidden="false" customHeight="false" outlineLevel="0" collapsed="false">
      <c r="A1" s="1" t="s">
        <v>350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5" t="s">
        <v>351</v>
      </c>
    </row>
    <row r="4" customFormat="false" ht="23.85" hidden="false" customHeight="false" outlineLevel="0" collapsed="false">
      <c r="A4" s="6" t="s">
        <v>352</v>
      </c>
      <c r="B4" s="6" t="s">
        <v>94</v>
      </c>
      <c r="C4" s="6" t="s">
        <v>96</v>
      </c>
      <c r="D4" s="6" t="s">
        <v>353</v>
      </c>
      <c r="E4" s="6" t="s">
        <v>354</v>
      </c>
      <c r="F4" s="6" t="s">
        <v>355</v>
      </c>
      <c r="G4" s="6" t="s">
        <v>356</v>
      </c>
    </row>
    <row r="5" customFormat="false" ht="15" hidden="false" customHeight="false" outlineLevel="0" collapsed="false">
      <c r="A5" s="14" t="s">
        <v>357</v>
      </c>
      <c r="B5" s="25" t="n">
        <f aca="false">BP!$B$39</f>
        <v>130000</v>
      </c>
      <c r="C5" s="25" t="n">
        <f aca="false">BP!$B$40</f>
        <v>150000</v>
      </c>
      <c r="D5" s="25" t="n">
        <f aca="false">BP!$B$41</f>
        <v>24540</v>
      </c>
      <c r="E5" s="25" t="n">
        <f aca="false">BP!$B$42</f>
        <v>1000</v>
      </c>
      <c r="F5" s="15" t="n">
        <f aca="false">SUM(B5:E5)</f>
        <v>305540</v>
      </c>
      <c r="G5" s="13" t="s">
        <v>358</v>
      </c>
    </row>
    <row r="6" customFormat="false" ht="15" hidden="false" customHeight="false" outlineLevel="0" collapsed="false">
      <c r="A6" s="8" t="s">
        <v>359</v>
      </c>
      <c r="B6" s="20" t="n">
        <f aca="false">Dados!$B$132</f>
        <v>14000</v>
      </c>
      <c r="C6" s="9" t="n">
        <v>0</v>
      </c>
      <c r="D6" s="9" t="n">
        <v>0</v>
      </c>
      <c r="E6" s="9" t="n">
        <v>0</v>
      </c>
      <c r="F6" s="26" t="n">
        <f aca="false">SUM(B6:E6)</f>
        <v>14000</v>
      </c>
      <c r="G6" s="13" t="s">
        <v>360</v>
      </c>
    </row>
    <row r="7" customFormat="false" ht="15" hidden="false" customHeight="false" outlineLevel="0" collapsed="false">
      <c r="A7" s="8" t="s">
        <v>361</v>
      </c>
      <c r="B7" s="20" t="n">
        <f aca="false">Dados!$B$133</f>
        <v>-9000</v>
      </c>
      <c r="C7" s="9" t="n">
        <v>0</v>
      </c>
      <c r="D7" s="9" t="n">
        <v>0</v>
      </c>
      <c r="E7" s="9" t="n">
        <v>0</v>
      </c>
      <c r="F7" s="26" t="n">
        <f aca="false">SUM(B7:E7)</f>
        <v>-9000</v>
      </c>
      <c r="G7" s="13" t="s">
        <v>362</v>
      </c>
    </row>
    <row r="8" customFormat="false" ht="15" hidden="false" customHeight="false" outlineLevel="0" collapsed="false">
      <c r="A8" s="8" t="s">
        <v>363</v>
      </c>
      <c r="B8" s="12" t="n">
        <f aca="false">ROUND(BP!$B$41*Dados!$B$134,-1)</f>
        <v>12270</v>
      </c>
      <c r="C8" s="9" t="n">
        <v>0</v>
      </c>
      <c r="D8" s="12" t="n">
        <f aca="false">-B8</f>
        <v>-12270</v>
      </c>
      <c r="E8" s="9" t="n">
        <v>0</v>
      </c>
      <c r="F8" s="26" t="n">
        <f aca="false">SUM(B8:E8)</f>
        <v>0</v>
      </c>
      <c r="G8" s="13" t="s">
        <v>364</v>
      </c>
    </row>
    <row r="9" customFormat="false" ht="15" hidden="false" customHeight="false" outlineLevel="0" collapsed="false">
      <c r="A9" s="8" t="s">
        <v>365</v>
      </c>
      <c r="B9" s="9" t="n">
        <v>0</v>
      </c>
      <c r="C9" s="9" t="n">
        <v>0</v>
      </c>
      <c r="D9" s="12" t="n">
        <f aca="false">-(BP!$B$41+D8)</f>
        <v>-12270</v>
      </c>
      <c r="E9" s="9" t="n">
        <v>0</v>
      </c>
      <c r="F9" s="26" t="n">
        <f aca="false">SUM(B9:E9)</f>
        <v>-12270</v>
      </c>
      <c r="G9" s="13" t="s">
        <v>366</v>
      </c>
    </row>
    <row r="10" customFormat="false" ht="15" hidden="false" customHeight="false" outlineLevel="0" collapsed="false">
      <c r="A10" s="8" t="s">
        <v>367</v>
      </c>
      <c r="B10" s="9" t="n">
        <v>0</v>
      </c>
      <c r="C10" s="9" t="n">
        <v>0</v>
      </c>
      <c r="D10" s="20" t="n">
        <f aca="false">DSP!$C$39</f>
        <v>53700</v>
      </c>
      <c r="E10" s="9" t="n">
        <v>0</v>
      </c>
      <c r="F10" s="26" t="n">
        <f aca="false">SUM(B10:E10)</f>
        <v>53700</v>
      </c>
      <c r="G10" s="13" t="s">
        <v>368</v>
      </c>
    </row>
    <row r="11" customFormat="false" ht="15" hidden="false" customHeight="false" outlineLevel="0" collapsed="false">
      <c r="A11" s="8" t="s">
        <v>369</v>
      </c>
      <c r="B11" s="9" t="n">
        <v>0</v>
      </c>
      <c r="C11" s="9" t="n">
        <v>0</v>
      </c>
      <c r="D11" s="20" t="n">
        <f aca="false">DSP!$C$40</f>
        <v>-12600</v>
      </c>
      <c r="E11" s="9" t="n">
        <v>0</v>
      </c>
      <c r="F11" s="26" t="n">
        <f aca="false">SUM(B11:E11)</f>
        <v>-12600</v>
      </c>
      <c r="G11" s="13" t="s">
        <v>370</v>
      </c>
    </row>
    <row r="12" customFormat="false" ht="15" hidden="false" customHeight="false" outlineLevel="0" collapsed="false">
      <c r="A12" s="8" t="s">
        <v>371</v>
      </c>
      <c r="B12" s="12" t="n">
        <f aca="false">-DSP!$C$40</f>
        <v>12600</v>
      </c>
      <c r="C12" s="9" t="n">
        <v>0</v>
      </c>
      <c r="D12" s="9" t="n">
        <v>0</v>
      </c>
      <c r="E12" s="9" t="n">
        <v>0</v>
      </c>
      <c r="F12" s="26" t="n">
        <f aca="false">SUM(B12:E12)</f>
        <v>12600</v>
      </c>
      <c r="G12" s="13" t="s">
        <v>372</v>
      </c>
    </row>
    <row r="13" customFormat="false" ht="15" hidden="false" customHeight="false" outlineLevel="0" collapsed="false">
      <c r="A13" s="8" t="s">
        <v>373</v>
      </c>
      <c r="B13" s="9" t="n">
        <v>0</v>
      </c>
      <c r="C13" s="9" t="n">
        <v>0</v>
      </c>
      <c r="D13" s="12" t="n">
        <f aca="false">DSP!$C$43+DSP!$C$45</f>
        <v>-3390</v>
      </c>
      <c r="E13" s="9" t="n">
        <v>0</v>
      </c>
      <c r="F13" s="26" t="n">
        <f aca="false">SUM(B13:E13)</f>
        <v>-3390</v>
      </c>
      <c r="G13" s="13" t="s">
        <v>374</v>
      </c>
    </row>
    <row r="14" customFormat="false" ht="15" hidden="false" customHeight="false" outlineLevel="0" collapsed="false">
      <c r="A14" s="8" t="s">
        <v>96</v>
      </c>
      <c r="B14" s="9" t="n">
        <v>0</v>
      </c>
      <c r="C14" s="12" t="n">
        <f aca="false">-DSP!$C$44</f>
        <v>17870</v>
      </c>
      <c r="D14" s="20" t="n">
        <f aca="false">DSP!$C$44</f>
        <v>-17870</v>
      </c>
      <c r="E14" s="9" t="n">
        <v>0</v>
      </c>
      <c r="F14" s="26" t="n">
        <f aca="false">SUM(B14:E14)</f>
        <v>0</v>
      </c>
      <c r="G14" s="13" t="s">
        <v>375</v>
      </c>
    </row>
    <row r="15" customFormat="false" ht="15" hidden="false" customHeight="false" outlineLevel="0" collapsed="false">
      <c r="A15" s="8" t="s">
        <v>376</v>
      </c>
      <c r="B15" s="9" t="n">
        <v>0</v>
      </c>
      <c r="C15" s="9" t="n">
        <v>0</v>
      </c>
      <c r="D15" s="9" t="n">
        <v>0</v>
      </c>
      <c r="E15" s="12" t="n">
        <f aca="false">BP!$C$42-BP!$B$42</f>
        <v>500</v>
      </c>
      <c r="F15" s="26" t="n">
        <f aca="false">SUM(B15:E15)</f>
        <v>500</v>
      </c>
      <c r="G15" s="13" t="s">
        <v>377</v>
      </c>
    </row>
    <row r="16" customFormat="false" ht="15" hidden="false" customHeight="false" outlineLevel="0" collapsed="false">
      <c r="A16" s="14" t="s">
        <v>378</v>
      </c>
      <c r="B16" s="15" t="n">
        <f aca="false">SUM(B5:B15)</f>
        <v>159870</v>
      </c>
      <c r="C16" s="15" t="n">
        <f aca="false">SUM(C5:C15)</f>
        <v>167870</v>
      </c>
      <c r="D16" s="15" t="n">
        <f aca="false">SUM(D5:D15)</f>
        <v>19840</v>
      </c>
      <c r="E16" s="15" t="n">
        <f aca="false">SUM(E5:E15)</f>
        <v>1500</v>
      </c>
      <c r="F16" s="15" t="n">
        <f aca="false">SUM(B16:E16)</f>
        <v>349080</v>
      </c>
      <c r="G16" s="13" t="s">
        <v>379</v>
      </c>
    </row>
    <row r="17" customFormat="false" ht="15" hidden="false" customHeight="false" outlineLevel="0" collapsed="false">
      <c r="A17" s="8" t="s">
        <v>380</v>
      </c>
      <c r="B17" s="12" t="n">
        <f aca="false">B16-BP!$C$39</f>
        <v>0</v>
      </c>
      <c r="C17" s="12" t="n">
        <f aca="false">C16-BP!$C$40</f>
        <v>0</v>
      </c>
      <c r="D17" s="12" t="n">
        <f aca="false">D16-BP!$C$41</f>
        <v>0</v>
      </c>
      <c r="E17" s="12" t="n">
        <f aca="false">E16-BP!$C$42</f>
        <v>0</v>
      </c>
      <c r="F17" s="26" t="n">
        <f aca="false">SUM(B17:E17)</f>
        <v>0</v>
      </c>
      <c r="G1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8"/>
    <col collapsed="false" customWidth="true" hidden="false" outlineLevel="0" max="6" min="3" style="0" width="15"/>
  </cols>
  <sheetData>
    <row r="1" customFormat="false" ht="16.15" hidden="false" customHeight="false" outlineLevel="0" collapsed="false">
      <c r="A1" s="1" t="s">
        <v>381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382</v>
      </c>
    </row>
    <row r="4" customFormat="false" ht="15" hidden="false" customHeight="false" outlineLevel="0" collapsed="false">
      <c r="A4" s="6" t="s">
        <v>383</v>
      </c>
      <c r="B4" s="6" t="s">
        <v>384</v>
      </c>
      <c r="C4" s="6" t="s">
        <v>385</v>
      </c>
      <c r="D4" s="6" t="s">
        <v>386</v>
      </c>
      <c r="E4" s="6" t="s">
        <v>387</v>
      </c>
      <c r="F4" s="6" t="s">
        <v>388</v>
      </c>
    </row>
    <row r="5" customFormat="false" ht="15" hidden="false" customHeight="false" outlineLevel="0" collapsed="false">
      <c r="A5" s="8" t="s">
        <v>229</v>
      </c>
      <c r="B5" s="27" t="n">
        <f aca="false">Dados!$B$88</f>
        <v>0</v>
      </c>
      <c r="C5" s="20" t="n">
        <f aca="false">BP!$B$6</f>
        <v>28000</v>
      </c>
      <c r="D5" s="12" t="n">
        <f aca="false">C5*$B5</f>
        <v>0</v>
      </c>
      <c r="E5" s="20" t="n">
        <f aca="false">BP!$C$6</f>
        <v>31000</v>
      </c>
      <c r="F5" s="12" t="n">
        <f aca="false">E5*$B5</f>
        <v>0</v>
      </c>
    </row>
    <row r="6" customFormat="false" ht="15" hidden="false" customHeight="false" outlineLevel="0" collapsed="false">
      <c r="A6" s="8" t="s">
        <v>230</v>
      </c>
      <c r="B6" s="27" t="n">
        <f aca="false">Dados!$B$89</f>
        <v>0.2</v>
      </c>
      <c r="C6" s="20" t="n">
        <f aca="false">BP!$B$7</f>
        <v>695540</v>
      </c>
      <c r="D6" s="12" t="n">
        <f aca="false">C6*$B6</f>
        <v>139108</v>
      </c>
      <c r="E6" s="20" t="n">
        <f aca="false">BP!$C$7</f>
        <v>789080</v>
      </c>
      <c r="F6" s="12" t="n">
        <f aca="false">E6*$B6</f>
        <v>157816</v>
      </c>
    </row>
    <row r="7" customFormat="false" ht="15" hidden="false" customHeight="false" outlineLevel="0" collapsed="false">
      <c r="A7" s="8" t="s">
        <v>231</v>
      </c>
      <c r="B7" s="27" t="n">
        <f aca="false">Dados!$B$90</f>
        <v>0.2</v>
      </c>
      <c r="C7" s="20" t="n">
        <f aca="false">BP!$B$8</f>
        <v>60000</v>
      </c>
      <c r="D7" s="12" t="n">
        <f aca="false">C7*$B7</f>
        <v>12000</v>
      </c>
      <c r="E7" s="20" t="n">
        <f aca="false">BP!$C$8</f>
        <v>85000</v>
      </c>
      <c r="F7" s="12" t="n">
        <f aca="false">E7*$B7</f>
        <v>17000</v>
      </c>
    </row>
    <row r="8" customFormat="false" ht="15" hidden="false" customHeight="false" outlineLevel="0" collapsed="false">
      <c r="A8" s="8" t="s">
        <v>389</v>
      </c>
      <c r="B8" s="27" t="n">
        <f aca="false">Dados!$B$91</f>
        <v>0</v>
      </c>
      <c r="C8" s="20" t="n">
        <f aca="false">BP!$B$9</f>
        <v>140000</v>
      </c>
      <c r="D8" s="12" t="n">
        <f aca="false">C8*$B8</f>
        <v>0</v>
      </c>
      <c r="E8" s="20" t="n">
        <f aca="false">BP!$C$9</f>
        <v>150000</v>
      </c>
      <c r="F8" s="12" t="n">
        <f aca="false">E8*$B8</f>
        <v>0</v>
      </c>
    </row>
    <row r="9" customFormat="false" ht="15" hidden="false" customHeight="false" outlineLevel="0" collapsed="false">
      <c r="A9" s="8" t="s">
        <v>390</v>
      </c>
      <c r="B9" s="27" t="n">
        <f aca="false">Dados!$B$92</f>
        <v>0.85</v>
      </c>
      <c r="C9" s="12" t="n">
        <f aca="false">BP!$B$10+BP!$B$11-Dados!$C$48</f>
        <v>1050000</v>
      </c>
      <c r="D9" s="12" t="n">
        <f aca="false">C9*$B9</f>
        <v>892500</v>
      </c>
      <c r="E9" s="12" t="n">
        <f aca="false">BP!$C$10+BP!$C$11-Dados!$D$48</f>
        <v>1188000</v>
      </c>
      <c r="F9" s="12" t="n">
        <f aca="false">E9*$B9</f>
        <v>1009800</v>
      </c>
    </row>
    <row r="10" customFormat="false" ht="15" hidden="false" customHeight="false" outlineLevel="0" collapsed="false">
      <c r="A10" s="8" t="s">
        <v>391</v>
      </c>
      <c r="B10" s="27" t="n">
        <f aca="false">Dados!$B$93</f>
        <v>0.75</v>
      </c>
      <c r="C10" s="12" t="n">
        <f aca="false">BP!$B$12-Dados!$C$49</f>
        <v>508000</v>
      </c>
      <c r="D10" s="12" t="n">
        <f aca="false">C10*$B10</f>
        <v>381000</v>
      </c>
      <c r="E10" s="12" t="n">
        <f aca="false">BP!$C$12-Dados!$D$49</f>
        <v>574000</v>
      </c>
      <c r="F10" s="12" t="n">
        <f aca="false">E10*$B10</f>
        <v>430500</v>
      </c>
    </row>
    <row r="11" customFormat="false" ht="15" hidden="false" customHeight="false" outlineLevel="0" collapsed="false">
      <c r="A11" s="8" t="s">
        <v>50</v>
      </c>
      <c r="B11" s="27" t="n">
        <f aca="false">Dados!$B$94</f>
        <v>1</v>
      </c>
      <c r="C11" s="20" t="n">
        <f aca="false">BP!$B$16</f>
        <v>45000</v>
      </c>
      <c r="D11" s="12" t="n">
        <f aca="false">C11*$B11</f>
        <v>45000</v>
      </c>
      <c r="E11" s="20" t="n">
        <f aca="false">BP!$C$16</f>
        <v>52000</v>
      </c>
      <c r="F11" s="12" t="n">
        <f aca="false">E11*$B11</f>
        <v>52000</v>
      </c>
    </row>
    <row r="12" customFormat="false" ht="15" hidden="false" customHeight="false" outlineLevel="0" collapsed="false">
      <c r="A12" s="8" t="s">
        <v>392</v>
      </c>
      <c r="B12" s="27" t="n">
        <f aca="false">Dados!$B$95</f>
        <v>1</v>
      </c>
      <c r="C12" s="20" t="n">
        <f aca="false">BP!$B$17</f>
        <v>9000</v>
      </c>
      <c r="D12" s="12" t="n">
        <f aca="false">C12*$B12</f>
        <v>9000</v>
      </c>
      <c r="E12" s="20" t="n">
        <f aca="false">BP!$C$17</f>
        <v>12000</v>
      </c>
      <c r="F12" s="12" t="n">
        <f aca="false">E12*$B12</f>
        <v>12000</v>
      </c>
    </row>
    <row r="13" customFormat="false" ht="15" hidden="false" customHeight="false" outlineLevel="0" collapsed="false">
      <c r="A13" s="8" t="s">
        <v>393</v>
      </c>
      <c r="B13" s="27" t="n">
        <f aca="false">Dados!$B$96</f>
        <v>1</v>
      </c>
      <c r="C13" s="12" t="n">
        <f aca="false">BP!$B$18+BP!$B$19</f>
        <v>21000</v>
      </c>
      <c r="D13" s="12" t="n">
        <f aca="false">C13*$B13</f>
        <v>21000</v>
      </c>
      <c r="E13" s="12" t="n">
        <f aca="false">BP!$C$18+BP!$C$19</f>
        <v>26000</v>
      </c>
      <c r="F13" s="12" t="n">
        <f aca="false">E13*$B13</f>
        <v>26000</v>
      </c>
    </row>
    <row r="14" customFormat="false" ht="15" hidden="false" customHeight="false" outlineLevel="0" collapsed="false">
      <c r="A14" s="8" t="s">
        <v>394</v>
      </c>
      <c r="B14" s="27" t="n">
        <f aca="false">Dados!$B$97</f>
        <v>1</v>
      </c>
      <c r="C14" s="20" t="n">
        <f aca="false">BP!$B$20</f>
        <v>95000</v>
      </c>
      <c r="D14" s="12" t="n">
        <f aca="false">C14*$B14</f>
        <v>95000</v>
      </c>
      <c r="E14" s="20" t="n">
        <f aca="false">BP!$C$20</f>
        <v>104000</v>
      </c>
      <c r="F14" s="12" t="n">
        <f aca="false">E14*$B14</f>
        <v>104000</v>
      </c>
    </row>
    <row r="15" customFormat="false" ht="15" hidden="false" customHeight="false" outlineLevel="0" collapsed="false">
      <c r="A15" s="8" t="s">
        <v>395</v>
      </c>
      <c r="B15" s="27" t="n">
        <f aca="false">Dados!$B$98</f>
        <v>1</v>
      </c>
      <c r="C15" s="20" t="n">
        <f aca="false">BP!$B$21</f>
        <v>62000</v>
      </c>
      <c r="D15" s="12" t="n">
        <f aca="false">C15*$B15</f>
        <v>62000</v>
      </c>
      <c r="E15" s="20" t="n">
        <f aca="false">BP!$C$21</f>
        <v>70000</v>
      </c>
      <c r="F15" s="12" t="n">
        <f aca="false">E15*$B15</f>
        <v>70000</v>
      </c>
    </row>
    <row r="16" customFormat="false" ht="15" hidden="false" customHeight="false" outlineLevel="0" collapsed="false">
      <c r="A16" s="8" t="s">
        <v>396</v>
      </c>
      <c r="B16" s="27" t="n">
        <f aca="false">Dados!$B$99</f>
        <v>0.75</v>
      </c>
      <c r="C16" s="20" t="n">
        <f aca="false">BP!$B$47</f>
        <v>180000</v>
      </c>
      <c r="D16" s="12" t="n">
        <f aca="false">C16*$B16</f>
        <v>135000</v>
      </c>
      <c r="E16" s="20" t="n">
        <f aca="false">BP!$C$47</f>
        <v>210000</v>
      </c>
      <c r="F16" s="12" t="n">
        <f aca="false">E16*$B16</f>
        <v>157500</v>
      </c>
    </row>
    <row r="18" customFormat="false" ht="15" hidden="false" customHeight="false" outlineLevel="0" collapsed="false">
      <c r="A18" s="14" t="s">
        <v>397</v>
      </c>
      <c r="D18" s="15" t="n">
        <f aca="false">SUM(D5:D16)</f>
        <v>1791608</v>
      </c>
      <c r="F18" s="15" t="n">
        <f aca="false">SUM(F5:F16)</f>
        <v>2036616</v>
      </c>
    </row>
    <row r="19" customFormat="false" ht="15" hidden="false" customHeight="false" outlineLevel="0" collapsed="false">
      <c r="A19" s="8" t="s">
        <v>398</v>
      </c>
      <c r="D19" s="12" t="n">
        <f aca="false">AVERAGE(Dados!$B$76,Dados!$B$77,Dados!$C$75)</f>
        <v>195566.666666667</v>
      </c>
      <c r="F19" s="12" t="n">
        <f aca="false">AVERAGE(Dados!$B$77,Dados!$C$75,Dados!$D$75)</f>
        <v>231166.666666667</v>
      </c>
    </row>
    <row r="20" customFormat="false" ht="15" hidden="false" customHeight="false" outlineLevel="0" collapsed="false">
      <c r="A20" s="14" t="s">
        <v>399</v>
      </c>
      <c r="D20" s="15" t="n">
        <f aca="false">Dados!$B$78*D19/Dados!$B$79</f>
        <v>366687.5</v>
      </c>
      <c r="F20" s="15" t="n">
        <f aca="false">Dados!$B$78*F19/Dados!$B$79</f>
        <v>433437.5</v>
      </c>
    </row>
    <row r="21" customFormat="false" ht="15" hidden="false" customHeight="false" outlineLevel="0" collapsed="false">
      <c r="A21" s="8" t="s">
        <v>400</v>
      </c>
      <c r="D21" s="20" t="n">
        <f aca="false">Dados!$C$73</f>
        <v>3000</v>
      </c>
      <c r="F21" s="20" t="n">
        <f aca="false">Dados!$D$73</f>
        <v>4000</v>
      </c>
    </row>
    <row r="22" customFormat="false" ht="15" hidden="false" customHeight="false" outlineLevel="0" collapsed="false">
      <c r="A22" s="14" t="s">
        <v>401</v>
      </c>
      <c r="D22" s="15" t="n">
        <f aca="false">D18+D20+D21</f>
        <v>2161295.5</v>
      </c>
      <c r="F22" s="15" t="n">
        <f aca="false">F18+F20+F21</f>
        <v>2474053.5</v>
      </c>
    </row>
    <row r="23" customFormat="false" ht="15" hidden="false" customHeight="false" outlineLevel="0" collapsed="false">
      <c r="A23" s="8" t="s">
        <v>402</v>
      </c>
      <c r="D23" s="10" t="n">
        <f aca="false">D22/BP!$B$23</f>
        <v>0.795313224460358</v>
      </c>
      <c r="F23" s="10" t="n">
        <f aca="false">F22/BP!$C$23</f>
        <v>0.801681583108669</v>
      </c>
    </row>
    <row r="24" customFormat="false" ht="15" hidden="false" customHeight="false" outlineLevel="0" collapsed="false">
      <c r="A24" s="8" t="s">
        <v>247</v>
      </c>
      <c r="D24" s="20" t="n">
        <f aca="false">BP!$B$43</f>
        <v>305540</v>
      </c>
      <c r="F24" s="20" t="n">
        <f aca="false">BP!$C$43</f>
        <v>349080</v>
      </c>
    </row>
    <row r="25" customFormat="false" ht="15" hidden="false" customHeight="false" outlineLevel="0" collapsed="false">
      <c r="A25" s="8" t="s">
        <v>403</v>
      </c>
      <c r="D25" s="12" t="n">
        <f aca="false">-(BP!$B$22+Dados!$C$74)</f>
        <v>-7000</v>
      </c>
      <c r="F25" s="12" t="n">
        <f aca="false">-(BP!$C$22+Dados!$D$74)</f>
        <v>-8000</v>
      </c>
    </row>
    <row r="26" customFormat="false" ht="15" hidden="false" customHeight="false" outlineLevel="0" collapsed="false">
      <c r="A26" s="14" t="s">
        <v>404</v>
      </c>
      <c r="D26" s="15" t="n">
        <f aca="false">D24+D25</f>
        <v>298540</v>
      </c>
      <c r="F26" s="15" t="n">
        <f aca="false">F24+F25</f>
        <v>341080</v>
      </c>
    </row>
    <row r="27" customFormat="false" ht="15" hidden="false" customHeight="false" outlineLevel="0" collapsed="false">
      <c r="A27" s="8" t="s">
        <v>405</v>
      </c>
      <c r="D27" s="20" t="n">
        <f aca="false">BP!$B$32</f>
        <v>0</v>
      </c>
      <c r="F27" s="20" t="n">
        <f aca="false">BP!$C$32</f>
        <v>15000</v>
      </c>
    </row>
    <row r="28" customFormat="false" ht="15" hidden="false" customHeight="false" outlineLevel="0" collapsed="false">
      <c r="A28" s="14" t="s">
        <v>406</v>
      </c>
      <c r="D28" s="15" t="n">
        <f aca="false">D26+D27</f>
        <v>298540</v>
      </c>
      <c r="F28" s="15" t="n">
        <f aca="false">F26+F27</f>
        <v>356080</v>
      </c>
    </row>
    <row r="29" customFormat="false" ht="15" hidden="false" customHeight="false" outlineLevel="0" collapsed="false">
      <c r="A29" s="14" t="s">
        <v>407</v>
      </c>
      <c r="D29" s="28" t="n">
        <f aca="false">D28/D22</f>
        <v>0.138130116867407</v>
      </c>
      <c r="F29" s="28" t="n">
        <f aca="false">F28/F22</f>
        <v>0.143925747765762</v>
      </c>
    </row>
    <row r="30" customFormat="false" ht="15" hidden="false" customHeight="false" outlineLevel="0" collapsed="false">
      <c r="A30" s="8" t="s">
        <v>408</v>
      </c>
      <c r="D30" s="29" t="n">
        <f aca="false">D26/D22</f>
        <v>0.138130116867407</v>
      </c>
      <c r="F30" s="29" t="n">
        <f aca="false">F26/F22</f>
        <v>0.137862823095782</v>
      </c>
    </row>
    <row r="31" customFormat="false" ht="15" hidden="false" customHeight="false" outlineLevel="0" collapsed="false">
      <c r="A31" s="14" t="s">
        <v>409</v>
      </c>
      <c r="D31" s="30" t="n">
        <f aca="false">(D29-Dados!$B$80)*100</f>
        <v>3.31301168674066</v>
      </c>
      <c r="F31" s="30" t="n">
        <f aca="false">(F29-Dados!$B$80)*100</f>
        <v>3.89257477657617</v>
      </c>
    </row>
    <row r="32" customFormat="false" ht="15" hidden="false" customHeight="false" outlineLevel="0" collapsed="false">
      <c r="A32" s="8" t="s">
        <v>410</v>
      </c>
      <c r="D32" s="12" t="n">
        <f aca="false">D28-Dados!$B$80*D22</f>
        <v>71603.9725</v>
      </c>
      <c r="F32" s="12" t="n">
        <f aca="false">F28-Dados!$B$80*F22</f>
        <v>96304.3825</v>
      </c>
    </row>
    <row r="33" customFormat="false" ht="15" hidden="false" customHeight="false" outlineLevel="0" collapsed="false">
      <c r="A33" s="8" t="s">
        <v>411</v>
      </c>
      <c r="D33" s="12" t="n">
        <f aca="false">(D28/(Dados!$B$80+Dados!$B$81)-D22)/Dados!$B$82</f>
        <v>206385.909090909</v>
      </c>
      <c r="F33" s="12" t="n">
        <f aca="false">(F28/(Dados!$B$80+Dados!$B$81)-F22)/Dados!$B$82</f>
        <v>340533.181818182</v>
      </c>
    </row>
    <row r="34" customFormat="false" ht="15" hidden="false" customHeight="false" outlineLevel="0" collapsed="false">
      <c r="A34" s="8" t="s">
        <v>412</v>
      </c>
      <c r="D34" s="29" t="n">
        <f aca="false">D26/D22</f>
        <v>0.138130116867407</v>
      </c>
      <c r="F34" s="29" t="n">
        <f aca="false">F26/F22</f>
        <v>0.137862823095782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6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1" t="s">
        <v>413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414</v>
      </c>
    </row>
    <row r="4" customFormat="false" ht="15" hidden="false" customHeight="false" outlineLevel="0" collapsed="false">
      <c r="A4" s="6" t="s">
        <v>415</v>
      </c>
      <c r="B4" s="6" t="s">
        <v>187</v>
      </c>
      <c r="C4" s="6" t="s">
        <v>111</v>
      </c>
      <c r="D4" s="6" t="s">
        <v>112</v>
      </c>
      <c r="E4" s="6" t="s">
        <v>416</v>
      </c>
      <c r="F4" s="6" t="s">
        <v>417</v>
      </c>
    </row>
    <row r="5" customFormat="false" ht="15" hidden="false" customHeight="false" outlineLevel="0" collapsed="false">
      <c r="A5" s="7" t="s">
        <v>418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8" t="s">
        <v>419</v>
      </c>
      <c r="B6" s="13" t="s">
        <v>420</v>
      </c>
      <c r="C6" s="20" t="n">
        <f aca="false">BP!$B$43</f>
        <v>305540</v>
      </c>
      <c r="D6" s="20" t="n">
        <f aca="false">BP!$C$43</f>
        <v>349080</v>
      </c>
      <c r="E6" s="10" t="n">
        <f aca="false">IFERROR(D6/C6-1,"n.a.")</f>
        <v>0.142501800091641</v>
      </c>
      <c r="F6" s="13" t="s">
        <v>421</v>
      </c>
    </row>
    <row r="7" customFormat="false" ht="15" hidden="false" customHeight="false" outlineLevel="0" collapsed="false">
      <c r="A7" s="8" t="s">
        <v>422</v>
      </c>
      <c r="B7" s="13" t="s">
        <v>423</v>
      </c>
      <c r="C7" s="10" t="n">
        <f aca="false">Dados!$C$29/Dados!$B$29-1</f>
        <v>0.0912142857142857</v>
      </c>
      <c r="D7" s="10" t="n">
        <f aca="false">Dados!$D$29/Dados!$C$29-1</f>
        <v>0.142501800091641</v>
      </c>
      <c r="E7" s="31" t="n">
        <f aca="false">(D7-C7)*100</f>
        <v>5.12875143773552</v>
      </c>
      <c r="F7" s="13" t="s">
        <v>424</v>
      </c>
    </row>
    <row r="8" customFormat="false" ht="15" hidden="false" customHeight="false" outlineLevel="0" collapsed="false">
      <c r="A8" s="8" t="s">
        <v>425</v>
      </c>
      <c r="B8" s="13" t="s">
        <v>426</v>
      </c>
      <c r="C8" s="10" t="n">
        <f aca="false">BP!$B$43/BP!$B$23</f>
        <v>0.112432567689896</v>
      </c>
      <c r="D8" s="10" t="n">
        <f aca="false">BP!$C$43/BP!$C$23</f>
        <v>0.113114371630029</v>
      </c>
      <c r="E8" s="31" t="n">
        <f aca="false">(D8-C8)*100</f>
        <v>0.0681803940133022</v>
      </c>
      <c r="F8" s="13" t="s">
        <v>427</v>
      </c>
    </row>
    <row r="9" customFormat="false" ht="15" hidden="false" customHeight="false" outlineLevel="0" collapsed="false">
      <c r="A9" s="8" t="s">
        <v>428</v>
      </c>
      <c r="B9" s="13" t="s">
        <v>429</v>
      </c>
      <c r="C9" s="32" t="n">
        <f aca="false">BP!$B$23/BP!$B$43</f>
        <v>8.89422006938535</v>
      </c>
      <c r="D9" s="32" t="n">
        <f aca="false">BP!$C$23/BP!$C$43</f>
        <v>8.84060960238341</v>
      </c>
      <c r="E9" s="32" t="n">
        <f aca="false">D9-C9</f>
        <v>-0.0536104670019419</v>
      </c>
      <c r="F9" s="13" t="s">
        <v>430</v>
      </c>
    </row>
    <row r="10" customFormat="false" ht="15" hidden="false" customHeight="false" outlineLevel="0" collapsed="false">
      <c r="A10" s="8" t="s">
        <v>431</v>
      </c>
      <c r="B10" s="13" t="s">
        <v>432</v>
      </c>
      <c r="C10" s="10" t="n">
        <f aca="false">BP!$B$39/BP!$B$43</f>
        <v>0.425476206061399</v>
      </c>
      <c r="D10" s="10" t="n">
        <f aca="false">BP!$C$39/BP!$C$43</f>
        <v>0.457975249226538</v>
      </c>
      <c r="E10" s="31" t="n">
        <f aca="false">(D10-C10)*100</f>
        <v>3.24990431651389</v>
      </c>
      <c r="F10" s="13" t="s">
        <v>433</v>
      </c>
    </row>
    <row r="11" customFormat="false" ht="15" hidden="false" customHeight="false" outlineLevel="0" collapsed="false">
      <c r="A11" s="8" t="s">
        <v>434</v>
      </c>
      <c r="B11" s="13" t="s">
        <v>435</v>
      </c>
      <c r="C11" s="33" t="n">
        <f aca="false">BP!$B$39*1000/Dados!$C$58</f>
        <v>1326.5306122449</v>
      </c>
      <c r="D11" s="33" t="n">
        <f aca="false">BP!$C$39*1000/Dados!$D$58</f>
        <v>1508.20754716981</v>
      </c>
      <c r="E11" s="10" t="n">
        <f aca="false">IFERROR(D11/C11-1,"n.a.")</f>
        <v>0.136956458635704</v>
      </c>
      <c r="F11" s="13"/>
    </row>
    <row r="12" customFormat="false" ht="15" hidden="false" customHeight="false" outlineLevel="0" collapsed="false">
      <c r="A12" s="7" t="s">
        <v>436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8" t="s">
        <v>437</v>
      </c>
      <c r="B13" s="13" t="s">
        <v>438</v>
      </c>
      <c r="C13" s="20" t="n">
        <f aca="false">BP!$B$13</f>
        <v>1640000</v>
      </c>
      <c r="D13" s="20" t="n">
        <f aca="false">BP!$C$13</f>
        <v>1870000</v>
      </c>
      <c r="E13" s="10" t="n">
        <f aca="false">IFERROR(D13/C13-1,"n.a.")</f>
        <v>0.140243902439024</v>
      </c>
      <c r="F13" s="13"/>
    </row>
    <row r="14" customFormat="false" ht="15" hidden="false" customHeight="false" outlineLevel="0" collapsed="false">
      <c r="A14" s="8" t="s">
        <v>439</v>
      </c>
      <c r="B14" s="13" t="s">
        <v>440</v>
      </c>
      <c r="C14" s="10" t="n">
        <f aca="false">Dados!$C$18/Dados!$B$18-1</f>
        <v>0.131034482758621</v>
      </c>
      <c r="D14" s="10" t="n">
        <f aca="false">Dados!$D$18/Dados!$C$18-1</f>
        <v>0.140243902439024</v>
      </c>
      <c r="E14" s="31" t="n">
        <f aca="false">(D14-C14)*100</f>
        <v>0.920941968040356</v>
      </c>
      <c r="F14" s="13" t="s">
        <v>441</v>
      </c>
    </row>
    <row r="15" customFormat="false" ht="15" hidden="false" customHeight="false" outlineLevel="0" collapsed="false">
      <c r="A15" s="8" t="s">
        <v>442</v>
      </c>
      <c r="B15" s="13" t="s">
        <v>443</v>
      </c>
      <c r="C15" s="10" t="n">
        <f aca="false">(1+C14)/(1+Dados!$C$6)-1</f>
        <v>0.0792313766780732</v>
      </c>
      <c r="D15" s="10" t="n">
        <f aca="false">(1+D14)/(1+Dados!$D$6)-1</f>
        <v>0.0911424903722722</v>
      </c>
      <c r="E15" s="31" t="n">
        <f aca="false">(D15-C15)*100</f>
        <v>1.1911113694199</v>
      </c>
      <c r="F15" s="13" t="s">
        <v>444</v>
      </c>
    </row>
    <row r="16" customFormat="false" ht="15" hidden="false" customHeight="false" outlineLevel="0" collapsed="false">
      <c r="A16" s="8" t="s">
        <v>445</v>
      </c>
      <c r="B16" s="13"/>
      <c r="C16" s="10" t="n">
        <f aca="false">Dados!$C$16/Dados!$B$16-1</f>
        <v>0.131313131313131</v>
      </c>
      <c r="D16" s="10" t="n">
        <f aca="false">Dados!$D$16/Dados!$C$16-1</f>
        <v>0.142857142857143</v>
      </c>
      <c r="E16" s="31" t="n">
        <f aca="false">(D16-C16)*100</f>
        <v>1.15440115440115</v>
      </c>
      <c r="F16" s="13"/>
    </row>
    <row r="17" customFormat="false" ht="15" hidden="false" customHeight="false" outlineLevel="0" collapsed="false">
      <c r="A17" s="8" t="s">
        <v>446</v>
      </c>
      <c r="B17" s="13"/>
      <c r="C17" s="10" t="n">
        <f aca="false">Dados!$C$17/Dados!$B$17-1</f>
        <v>0.130434782608696</v>
      </c>
      <c r="D17" s="10" t="n">
        <f aca="false">Dados!$D$17/Dados!$C$17-1</f>
        <v>0.134615384615385</v>
      </c>
      <c r="E17" s="31" t="n">
        <f aca="false">(D17-C17)*100</f>
        <v>0.418060200668902</v>
      </c>
      <c r="F17" s="13"/>
    </row>
    <row r="18" customFormat="false" ht="15" hidden="false" customHeight="false" outlineLevel="0" collapsed="false">
      <c r="A18" s="8" t="s">
        <v>447</v>
      </c>
      <c r="B18" s="13"/>
      <c r="C18" s="10" t="n">
        <f aca="false">Dados!$C$9/Dados!$B$9-1</f>
        <v>0.137046025104603</v>
      </c>
      <c r="D18" s="10" t="n">
        <f aca="false">Dados!$D$9/Dados!$C$9-1</f>
        <v>0.135615299130831</v>
      </c>
      <c r="E18" s="31" t="n">
        <f aca="false">(D18-C18)*100</f>
        <v>-0.143072597377114</v>
      </c>
      <c r="F18" s="13"/>
    </row>
    <row r="19" customFormat="false" ht="15" hidden="false" customHeight="false" outlineLevel="0" collapsed="false">
      <c r="A19" s="7" t="s">
        <v>448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8" t="s">
        <v>449</v>
      </c>
      <c r="B20" s="13" t="s">
        <v>450</v>
      </c>
      <c r="C20" s="20" t="n">
        <f aca="false">Dados!$C$25</f>
        <v>2050000</v>
      </c>
      <c r="D20" s="20" t="n">
        <f aca="false">Dados!$D$25</f>
        <v>2315000</v>
      </c>
      <c r="E20" s="10" t="n">
        <f aca="false">IFERROR(D20/C20-1,"n.a.")</f>
        <v>0.129268292682927</v>
      </c>
      <c r="F20" s="13"/>
    </row>
    <row r="21" customFormat="false" ht="15" hidden="false" customHeight="false" outlineLevel="0" collapsed="false">
      <c r="A21" s="8" t="s">
        <v>451</v>
      </c>
      <c r="B21" s="13"/>
      <c r="C21" s="10" t="n">
        <f aca="false">Dados!$C$25/Dados!$B$25-1</f>
        <v>0.142061281337047</v>
      </c>
      <c r="D21" s="10" t="n">
        <f aca="false">Dados!$D$25/Dados!$C$25-1</f>
        <v>0.129268292682927</v>
      </c>
      <c r="E21" s="31" t="n">
        <f aca="false">(D21-C21)*100</f>
        <v>-1.27929886541207</v>
      </c>
      <c r="F21" s="13" t="s">
        <v>452</v>
      </c>
    </row>
    <row r="22" customFormat="false" ht="15" hidden="false" customHeight="false" outlineLevel="0" collapsed="false">
      <c r="A22" s="8" t="s">
        <v>453</v>
      </c>
      <c r="B22" s="13" t="s">
        <v>454</v>
      </c>
      <c r="C22" s="10" t="n">
        <f aca="false">BP!$B$25/Dados!$C$25</f>
        <v>0.190243902439024</v>
      </c>
      <c r="D22" s="10" t="n">
        <f aca="false">BP!$C$25/Dados!$D$25</f>
        <v>0.177105831533477</v>
      </c>
      <c r="E22" s="31" t="n">
        <f aca="false">(D22-C22)*100</f>
        <v>-1.31380709055471</v>
      </c>
      <c r="F22" s="13" t="s">
        <v>455</v>
      </c>
    </row>
    <row r="23" customFormat="false" ht="15" hidden="false" customHeight="false" outlineLevel="0" collapsed="false">
      <c r="A23" s="8" t="s">
        <v>456</v>
      </c>
      <c r="B23" s="13"/>
      <c r="C23" s="10" t="n">
        <f aca="false">BP!$B$26/Dados!$C$25</f>
        <v>0.102439024390244</v>
      </c>
      <c r="D23" s="10" t="n">
        <f aca="false">BP!$C$26/Dados!$D$25</f>
        <v>0.101511879049676</v>
      </c>
      <c r="E23" s="31" t="n">
        <f aca="false">(D23-C23)*100</f>
        <v>-0.092714534056787</v>
      </c>
      <c r="F23" s="13"/>
    </row>
    <row r="24" customFormat="false" ht="15" hidden="false" customHeight="false" outlineLevel="0" collapsed="false">
      <c r="A24" s="8" t="s">
        <v>457</v>
      </c>
      <c r="B24" s="13"/>
      <c r="C24" s="10" t="n">
        <f aca="false">BP!$B$27/Dados!$C$25</f>
        <v>0.648780487804878</v>
      </c>
      <c r="D24" s="10" t="n">
        <f aca="false">BP!$C$27/Dados!$D$25</f>
        <v>0.65658747300216</v>
      </c>
      <c r="E24" s="31" t="n">
        <f aca="false">(D24-C24)*100</f>
        <v>0.780698519728174</v>
      </c>
      <c r="F24" s="13" t="s">
        <v>458</v>
      </c>
    </row>
    <row r="25" customFormat="false" ht="15" hidden="false" customHeight="false" outlineLevel="0" collapsed="false">
      <c r="A25" s="8" t="s">
        <v>459</v>
      </c>
      <c r="B25" s="13"/>
      <c r="C25" s="10" t="n">
        <f aca="false">BP!$B$29/Dados!$C$25</f>
        <v>0.0585365853658537</v>
      </c>
      <c r="D25" s="10" t="n">
        <f aca="false">BP!$C$29/Dados!$D$25</f>
        <v>0.0647948164146868</v>
      </c>
      <c r="E25" s="31" t="n">
        <f aca="false">(D25-C25)*100</f>
        <v>0.625823104883317</v>
      </c>
      <c r="F25" s="13"/>
    </row>
    <row r="26" customFormat="false" ht="15" hidden="false" customHeight="false" outlineLevel="0" collapsed="false">
      <c r="A26" s="8" t="s">
        <v>460</v>
      </c>
      <c r="B26" s="13" t="s">
        <v>461</v>
      </c>
      <c r="C26" s="29" t="n">
        <f aca="false">-(DSP!$B$13+DSP!$B$14+DSP!$B$15)/AVERAGE(Dados!$B$25,Dados!$C$25)</f>
        <v>0.085149544863459</v>
      </c>
      <c r="D26" s="29" t="n">
        <f aca="false">-(DSP!$C$13+DSP!$C$14+DSP!$C$15)/AVERAGE(Dados!$C$25,Dados!$D$25)</f>
        <v>0.110973654066438</v>
      </c>
      <c r="E26" s="31" t="n">
        <f aca="false">(D26-C26)*100</f>
        <v>2.58241092029785</v>
      </c>
      <c r="F26" s="13"/>
    </row>
    <row r="27" customFormat="false" ht="15" hidden="false" customHeight="false" outlineLevel="0" collapsed="false">
      <c r="A27" s="8" t="s">
        <v>462</v>
      </c>
      <c r="B27" s="13" t="s">
        <v>463</v>
      </c>
      <c r="C27" s="10" t="n">
        <f aca="false">-DSP!$B$14/AVERAGE(Dados!$B$22,Dados!$C$22)/Dados!$C$5</f>
        <v>1.01805267830719</v>
      </c>
      <c r="D27" s="10" t="n">
        <f aca="false">-DSP!$C$14/AVERAGE(Dados!$C$22,Dados!$D$22)/Dados!$D$5</f>
        <v>1.01042816832291</v>
      </c>
      <c r="E27" s="31" t="n">
        <f aca="false">(D27-C27)*100</f>
        <v>-0.762450998428621</v>
      </c>
      <c r="F27" s="13" t="s">
        <v>464</v>
      </c>
    </row>
    <row r="28" customFormat="false" ht="15" hidden="false" customHeight="false" outlineLevel="0" collapsed="false">
      <c r="A28" s="8" t="s">
        <v>465</v>
      </c>
      <c r="B28" s="13" t="s">
        <v>466</v>
      </c>
      <c r="C28" s="10" t="n">
        <f aca="false">BP!$B$13/Dados!$C$25</f>
        <v>0.8</v>
      </c>
      <c r="D28" s="10" t="n">
        <f aca="false">BP!$C$13/Dados!$D$25</f>
        <v>0.807775377969762</v>
      </c>
      <c r="E28" s="31" t="n">
        <f aca="false">(D28-C28)*100</f>
        <v>0.777537796976235</v>
      </c>
      <c r="F28" s="13" t="s">
        <v>467</v>
      </c>
    </row>
    <row r="29" customFormat="false" ht="15" hidden="false" customHeight="false" outlineLevel="0" collapsed="false">
      <c r="A29" s="7" t="s">
        <v>468</v>
      </c>
      <c r="B29" s="7"/>
      <c r="C29" s="7"/>
      <c r="D29" s="7"/>
      <c r="E29" s="7"/>
      <c r="F29" s="7"/>
    </row>
    <row r="30" customFormat="false" ht="15" hidden="false" customHeight="false" outlineLevel="0" collapsed="false">
      <c r="A30" s="8" t="s">
        <v>469</v>
      </c>
      <c r="B30" s="13" t="s">
        <v>470</v>
      </c>
      <c r="C30" s="20" t="n">
        <f aca="false">Gerencial!$B$9</f>
        <v>193200</v>
      </c>
      <c r="D30" s="20" t="n">
        <f aca="false">Gerencial!$C$9</f>
        <v>204800</v>
      </c>
      <c r="E30" s="10" t="n">
        <f aca="false">IFERROR(D30/C30-1,"n.a.")</f>
        <v>0.0600414078674949</v>
      </c>
      <c r="F30" s="13"/>
    </row>
    <row r="31" customFormat="false" ht="15" hidden="false" customHeight="false" outlineLevel="0" collapsed="false">
      <c r="A31" s="8" t="s">
        <v>471</v>
      </c>
      <c r="B31" s="13" t="s">
        <v>472</v>
      </c>
      <c r="C31" s="29" t="n">
        <f aca="false">Gerencial!$B$9/AVERAGE(Dados!$B$9,Dados!$C$9)</f>
        <v>0.0756528583231849</v>
      </c>
      <c r="D31" s="29" t="n">
        <f aca="false">Gerencial!$C$9/AVERAGE(Dados!$C$9,Dados!$D$9)</f>
        <v>0.0705766400970429</v>
      </c>
      <c r="E31" s="31" t="n">
        <f aca="false">(D31-C31)*100</f>
        <v>-0.507621822614206</v>
      </c>
      <c r="F31" s="13" t="s">
        <v>473</v>
      </c>
    </row>
    <row r="32" customFormat="false" ht="15" hidden="false" customHeight="false" outlineLevel="0" collapsed="false">
      <c r="A32" s="8" t="s">
        <v>474</v>
      </c>
      <c r="B32" s="13" t="s">
        <v>475</v>
      </c>
      <c r="C32" s="29" t="n">
        <f aca="false">DSP!$B$6/AVERAGE(Dados!$B$18,Dados!$C$18)</f>
        <v>0.188284789644013</v>
      </c>
      <c r="D32" s="29" t="n">
        <f aca="false">DSP!$C$6/AVERAGE(Dados!$C$18,Dados!$D$18)</f>
        <v>0.196809116809117</v>
      </c>
      <c r="E32" s="31" t="n">
        <f aca="false">(D32-C32)*100</f>
        <v>0.852432716510387</v>
      </c>
      <c r="F32" s="13"/>
    </row>
    <row r="33" customFormat="false" ht="15" hidden="false" customHeight="false" outlineLevel="0" collapsed="false">
      <c r="A33" s="8" t="s">
        <v>476</v>
      </c>
      <c r="B33" s="13" t="s">
        <v>477</v>
      </c>
      <c r="C33" s="29" t="n">
        <f aca="false">Gerencial!$B$6/AVERAGE(Dados!$B$14,Dados!$C$14)</f>
        <v>0.109290899070089</v>
      </c>
      <c r="D33" s="29" t="n">
        <f aca="false">Gerencial!$C$6/AVERAGE(Dados!$C$14,Dados!$D$14)</f>
        <v>0.143361707004511</v>
      </c>
      <c r="E33" s="31" t="n">
        <f aca="false">(D33-C33)*100</f>
        <v>3.40708079344221</v>
      </c>
      <c r="F33" s="13" t="s">
        <v>478</v>
      </c>
    </row>
    <row r="34" customFormat="false" ht="15" hidden="false" customHeight="false" outlineLevel="0" collapsed="false">
      <c r="A34" s="7" t="s">
        <v>479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8" t="s">
        <v>480</v>
      </c>
      <c r="B35" s="13" t="s">
        <v>481</v>
      </c>
      <c r="C35" s="31" t="n">
        <f aca="false">(C32-C26)*100</f>
        <v>10.3135244780554</v>
      </c>
      <c r="D35" s="31" t="n">
        <f aca="false">(D32-D26)*100</f>
        <v>8.58354627426792</v>
      </c>
      <c r="E35" s="31" t="n">
        <f aca="false">D35-C35</f>
        <v>-1.72997820378747</v>
      </c>
      <c r="F35" s="13"/>
    </row>
    <row r="36" customFormat="false" ht="15" hidden="false" customHeight="false" outlineLevel="0" collapsed="false">
      <c r="A36" s="8" t="s">
        <v>482</v>
      </c>
      <c r="B36" s="13" t="s">
        <v>483</v>
      </c>
      <c r="C36" s="31" t="n">
        <f aca="false">(C32-Dados!$C$5)*100</f>
        <v>7.92847896440129</v>
      </c>
      <c r="D36" s="31" t="n">
        <f aca="false">(D32-Dados!$D$5)*100</f>
        <v>5.38091168091168</v>
      </c>
      <c r="E36" s="31" t="n">
        <f aca="false">D36-C36</f>
        <v>-2.54756728348961</v>
      </c>
      <c r="F36" s="13" t="s">
        <v>484</v>
      </c>
    </row>
    <row r="37" customFormat="false" ht="15" hidden="false" customHeight="false" outlineLevel="0" collapsed="false">
      <c r="A37" s="7" t="s">
        <v>485</v>
      </c>
      <c r="B37" s="7"/>
      <c r="C37" s="7"/>
      <c r="D37" s="7"/>
      <c r="E37" s="7"/>
      <c r="F37" s="7"/>
    </row>
    <row r="38" customFormat="false" ht="15" hidden="false" customHeight="false" outlineLevel="0" collapsed="false">
      <c r="A38" s="8" t="s">
        <v>486</v>
      </c>
      <c r="B38" s="13" t="s">
        <v>487</v>
      </c>
      <c r="C38" s="20" t="n">
        <f aca="false">DSP!$B$39</f>
        <v>58500</v>
      </c>
      <c r="D38" s="20" t="n">
        <f aca="false">DSP!$C$39</f>
        <v>53700</v>
      </c>
      <c r="E38" s="10" t="n">
        <f aca="false">IFERROR(D38/C38-1,"n.a.")</f>
        <v>-0.0820512820512821</v>
      </c>
      <c r="F38" s="13"/>
    </row>
    <row r="39" customFormat="false" ht="15" hidden="false" customHeight="false" outlineLevel="0" collapsed="false">
      <c r="A39" s="8" t="s">
        <v>488</v>
      </c>
      <c r="B39" s="13" t="s">
        <v>489</v>
      </c>
      <c r="C39" s="12" t="n">
        <f aca="false">AVERAGE(Dados!$B$29,Dados!$C$29)</f>
        <v>292770</v>
      </c>
      <c r="D39" s="12" t="n">
        <f aca="false">AVERAGE(Dados!$C$29,Dados!$D$29)</f>
        <v>327310</v>
      </c>
      <c r="E39" s="10" t="n">
        <f aca="false">IFERROR(D39/C39-1,"n.a.")</f>
        <v>0.117976568637497</v>
      </c>
      <c r="F39" s="13"/>
    </row>
    <row r="40" customFormat="false" ht="15" hidden="false" customHeight="false" outlineLevel="0" collapsed="false">
      <c r="A40" s="8" t="s">
        <v>490</v>
      </c>
      <c r="B40" s="13" t="s">
        <v>491</v>
      </c>
      <c r="C40" s="29" t="n">
        <f aca="false">C38/C39</f>
        <v>0.199815554872425</v>
      </c>
      <c r="D40" s="29" t="n">
        <f aca="false">D38/D39</f>
        <v>0.164064648192845</v>
      </c>
      <c r="E40" s="31" t="n">
        <f aca="false">(D40-C40)*100</f>
        <v>-3.57509066795808</v>
      </c>
      <c r="F40" s="13" t="s">
        <v>492</v>
      </c>
    </row>
    <row r="41" customFormat="false" ht="15" hidden="false" customHeight="false" outlineLevel="0" collapsed="false">
      <c r="A41" s="8" t="s">
        <v>493</v>
      </c>
      <c r="B41" s="13" t="s">
        <v>494</v>
      </c>
      <c r="C41" s="29" t="n">
        <f aca="false">C38/AVERAGE(Dados!$B$9,Dados!$C$9)</f>
        <v>0.0229073095854364</v>
      </c>
      <c r="D41" s="29" t="n">
        <f aca="false">D38/AVERAGE(Dados!$C$9,Dados!$D$9)</f>
        <v>0.0185056912754453</v>
      </c>
      <c r="E41" s="31" t="n">
        <f aca="false">(D41-C41)*100</f>
        <v>-0.440161830999111</v>
      </c>
      <c r="F41" s="13"/>
    </row>
    <row r="42" customFormat="false" ht="15" hidden="false" customHeight="false" outlineLevel="0" collapsed="false">
      <c r="A42" s="8" t="s">
        <v>495</v>
      </c>
      <c r="B42" s="13"/>
      <c r="C42" s="10" t="n">
        <f aca="false">C38/Gerencial!$B$12</f>
        <v>0.248091603053435</v>
      </c>
      <c r="D42" s="10" t="n">
        <f aca="false">D38/Gerencial!$C$12</f>
        <v>0.208786936236392</v>
      </c>
      <c r="E42" s="31" t="n">
        <f aca="false">(D42-C42)*100</f>
        <v>-3.93046668170432</v>
      </c>
      <c r="F42" s="13"/>
    </row>
    <row r="43" customFormat="false" ht="15" hidden="false" customHeight="false" outlineLevel="0" collapsed="false">
      <c r="A43" s="8" t="s">
        <v>496</v>
      </c>
      <c r="B43" s="13"/>
      <c r="C43" s="29" t="n">
        <f aca="false">Gerencial!$B$12/AVERAGE(Dados!$B$9,Dados!$C$9)</f>
        <v>0.0923340786366822</v>
      </c>
      <c r="D43" s="29" t="n">
        <f aca="false">Gerencial!$C$12/AVERAGE(Dados!$C$9,Dados!$D$9)</f>
        <v>0.0886343351218722</v>
      </c>
      <c r="E43" s="31" t="n">
        <f aca="false">(D43-C43)*100</f>
        <v>-0.369974351481002</v>
      </c>
      <c r="F43" s="13"/>
    </row>
    <row r="44" customFormat="false" ht="15" hidden="false" customHeight="false" outlineLevel="0" collapsed="false">
      <c r="A44" s="8" t="s">
        <v>497</v>
      </c>
      <c r="B44" s="13"/>
      <c r="C44" s="32" t="n">
        <f aca="false">AVERAGE(Dados!$B$9,Dados!$C$9)/C39</f>
        <v>8.72278580455648</v>
      </c>
      <c r="D44" s="32" t="n">
        <f aca="false">AVERAGE(Dados!$C$9,Dados!$D$9)/D39</f>
        <v>8.86563196969234</v>
      </c>
      <c r="E44" s="32" t="n">
        <f aca="false">D44-C44</f>
        <v>0.142846165135863</v>
      </c>
      <c r="F44" s="13"/>
    </row>
    <row r="45" customFormat="false" ht="15" hidden="false" customHeight="false" outlineLevel="0" collapsed="false">
      <c r="A45" s="8" t="s">
        <v>498</v>
      </c>
      <c r="B45" s="13" t="s">
        <v>499</v>
      </c>
      <c r="C45" s="20" t="n">
        <f aca="false">Dados!$C$66</f>
        <v>-2200</v>
      </c>
      <c r="D45" s="20" t="n">
        <f aca="false">Dados!$D$66</f>
        <v>9200</v>
      </c>
      <c r="E45" s="10" t="n">
        <f aca="false">IFERROR(D45/C45-1,"n.a.")</f>
        <v>-5.18181818181818</v>
      </c>
      <c r="F45" s="13"/>
    </row>
    <row r="46" customFormat="false" ht="15" hidden="false" customHeight="false" outlineLevel="0" collapsed="false">
      <c r="A46" s="8" t="s">
        <v>500</v>
      </c>
      <c r="B46" s="13" t="s">
        <v>501</v>
      </c>
      <c r="C46" s="20" t="n">
        <f aca="false">Gerencial!$B$21</f>
        <v>60700</v>
      </c>
      <c r="D46" s="20" t="n">
        <f aca="false">Gerencial!$C$21</f>
        <v>44500</v>
      </c>
      <c r="E46" s="10" t="n">
        <f aca="false">IFERROR(D46/C46-1,"n.a.")</f>
        <v>-0.266886326194399</v>
      </c>
      <c r="F46" s="13"/>
    </row>
    <row r="47" customFormat="false" ht="15" hidden="false" customHeight="false" outlineLevel="0" collapsed="false">
      <c r="A47" s="8" t="s">
        <v>502</v>
      </c>
      <c r="B47" s="13" t="s">
        <v>503</v>
      </c>
      <c r="C47" s="29" t="n">
        <f aca="false">C46/C39</f>
        <v>0.207329985995833</v>
      </c>
      <c r="D47" s="29" t="n">
        <f aca="false">D46/D39</f>
        <v>0.135956738260365</v>
      </c>
      <c r="E47" s="31" t="n">
        <f aca="false">(D47-C47)*100</f>
        <v>-7.13732477354681</v>
      </c>
      <c r="F47" s="13" t="s">
        <v>504</v>
      </c>
    </row>
    <row r="48" customFormat="false" ht="15" hidden="false" customHeight="false" outlineLevel="0" collapsed="false">
      <c r="A48" s="7" t="s">
        <v>505</v>
      </c>
      <c r="B48" s="7"/>
      <c r="C48" s="7"/>
      <c r="D48" s="7"/>
      <c r="E48" s="7"/>
      <c r="F48" s="7"/>
    </row>
    <row r="49" customFormat="false" ht="15" hidden="false" customHeight="false" outlineLevel="0" collapsed="false">
      <c r="A49" s="8" t="s">
        <v>506</v>
      </c>
      <c r="B49" s="13" t="s">
        <v>507</v>
      </c>
      <c r="C49" s="10" t="n">
        <f aca="false">-Gerencial!$B$13/Gerencial!$B$12</f>
        <v>0.585241730279898</v>
      </c>
      <c r="D49" s="10" t="n">
        <f aca="false">-Gerencial!$C$13/Gerencial!$C$12</f>
        <v>0.590979782270607</v>
      </c>
      <c r="E49" s="31" t="n">
        <f aca="false">(D49-C49)*100</f>
        <v>0.573805199070832</v>
      </c>
      <c r="F49" s="13" t="s">
        <v>508</v>
      </c>
    </row>
    <row r="50" customFormat="false" ht="15" hidden="false" customHeight="false" outlineLevel="0" collapsed="false">
      <c r="A50" s="8" t="s">
        <v>509</v>
      </c>
      <c r="B50" s="13" t="s">
        <v>510</v>
      </c>
      <c r="C50" s="10" t="n">
        <f aca="false">-(Gerencial!$B$13-Dados!$C$62)/(Gerencial!$B$12-Dados!$C$64)</f>
        <v>0.574639525021204</v>
      </c>
      <c r="D50" s="10" t="n">
        <f aca="false">-(Gerencial!$C$13-Dados!$D$62)/(Gerencial!$C$12-Dados!$D$64)</f>
        <v>0.597954366640441</v>
      </c>
      <c r="E50" s="31" t="n">
        <f aca="false">(D50-C50)*100</f>
        <v>2.33148416192361</v>
      </c>
      <c r="F50" s="13"/>
    </row>
    <row r="51" customFormat="false" ht="15" hidden="false" customHeight="false" outlineLevel="0" collapsed="false">
      <c r="A51" s="8" t="s">
        <v>511</v>
      </c>
      <c r="B51" s="13" t="s">
        <v>512</v>
      </c>
      <c r="C51" s="10" t="n">
        <f aca="false">-(Gerencial!$B$13+Gerencial!$B$14)/Gerencial!$B$12</f>
        <v>0.750636132315522</v>
      </c>
      <c r="D51" s="10" t="n">
        <f aca="false">-(Gerencial!$C$13+Gerencial!$C$14)/Gerencial!$C$12</f>
        <v>0.804821150855365</v>
      </c>
      <c r="E51" s="31" t="n">
        <f aca="false">(D51-C51)*100</f>
        <v>5.41850185398438</v>
      </c>
      <c r="F51" s="13" t="s">
        <v>513</v>
      </c>
    </row>
    <row r="52" customFormat="false" ht="15" hidden="false" customHeight="false" outlineLevel="0" collapsed="false">
      <c r="A52" s="7" t="s">
        <v>514</v>
      </c>
      <c r="B52" s="7"/>
      <c r="C52" s="7"/>
      <c r="D52" s="7"/>
      <c r="E52" s="7"/>
      <c r="F52" s="7"/>
    </row>
    <row r="53" customFormat="false" ht="15" hidden="false" customHeight="false" outlineLevel="0" collapsed="false">
      <c r="A53" s="8" t="s">
        <v>515</v>
      </c>
      <c r="B53" s="13" t="s">
        <v>516</v>
      </c>
      <c r="C53" s="29" t="n">
        <f aca="false">Dados!$C$38/BP!$B$13</f>
        <v>0.0189024390243902</v>
      </c>
      <c r="D53" s="29" t="n">
        <f aca="false">Dados!$D$38/BP!$C$13</f>
        <v>0.0294117647058824</v>
      </c>
      <c r="E53" s="31" t="n">
        <f aca="false">(D53-C53)*100</f>
        <v>1.05093256814921</v>
      </c>
      <c r="F53" s="13" t="s">
        <v>517</v>
      </c>
    </row>
    <row r="54" customFormat="false" ht="15" hidden="false" customHeight="false" outlineLevel="0" collapsed="false">
      <c r="A54" s="8" t="s">
        <v>518</v>
      </c>
      <c r="B54" s="13" t="s">
        <v>519</v>
      </c>
      <c r="C54" s="29" t="n">
        <f aca="false">(Dados!$C$35+Dados!$C$36+Dados!$C$37)/BP!$B$13</f>
        <v>0.0219512195121951</v>
      </c>
      <c r="D54" s="29" t="n">
        <f aca="false">(Dados!$D$35+Dados!$D$36+Dados!$D$37)/BP!$C$13</f>
        <v>0.0267379679144385</v>
      </c>
      <c r="E54" s="31" t="n">
        <f aca="false">(D54-C54)*100</f>
        <v>0.478674840224338</v>
      </c>
      <c r="F54" s="13" t="s">
        <v>520</v>
      </c>
    </row>
    <row r="55" customFormat="false" ht="15" hidden="false" customHeight="false" outlineLevel="0" collapsed="false">
      <c r="A55" s="8" t="s">
        <v>521</v>
      </c>
      <c r="B55" s="13" t="s">
        <v>522</v>
      </c>
      <c r="C55" s="29" t="n">
        <f aca="false">Dados!$C$44/BP!$B$13</f>
        <v>0.0353658536585366</v>
      </c>
      <c r="D55" s="29" t="n">
        <f aca="false">Dados!$D$44/BP!$C$13</f>
        <v>0.0427807486631016</v>
      </c>
      <c r="E55" s="31" t="n">
        <f aca="false">(D55-C55)*100</f>
        <v>0.741489500456502</v>
      </c>
      <c r="F55" s="13" t="s">
        <v>523</v>
      </c>
    </row>
    <row r="56" customFormat="false" ht="15" hidden="false" customHeight="false" outlineLevel="0" collapsed="false">
      <c r="A56" s="8" t="s">
        <v>524</v>
      </c>
      <c r="B56" s="13"/>
      <c r="C56" s="29" t="n">
        <f aca="false">Dados!$C$50/BP!$B$13</f>
        <v>0.025</v>
      </c>
      <c r="D56" s="29" t="n">
        <f aca="false">Dados!$D$50/BP!$C$13</f>
        <v>0.0331550802139037</v>
      </c>
      <c r="E56" s="31" t="n">
        <f aca="false">(D56-C56)*100</f>
        <v>0.815508021390374</v>
      </c>
      <c r="F56" s="13" t="s">
        <v>525</v>
      </c>
    </row>
    <row r="57" customFormat="false" ht="15" hidden="false" customHeight="false" outlineLevel="0" collapsed="false">
      <c r="A57" s="7" t="s">
        <v>526</v>
      </c>
      <c r="B57" s="7"/>
      <c r="C57" s="7"/>
      <c r="D57" s="7"/>
      <c r="E57" s="7"/>
      <c r="F57" s="7"/>
    </row>
    <row r="58" customFormat="false" ht="15" hidden="false" customHeight="false" outlineLevel="0" collapsed="false">
      <c r="A58" s="8" t="s">
        <v>527</v>
      </c>
      <c r="B58" s="13" t="s">
        <v>528</v>
      </c>
      <c r="C58" s="29" t="n">
        <f aca="false">-BP!$B$14/BP!$B$13</f>
        <v>0.05</v>
      </c>
      <c r="D58" s="29" t="n">
        <f aca="false">-BP!$C$14/BP!$C$13</f>
        <v>0.0577540106951872</v>
      </c>
      <c r="E58" s="31" t="n">
        <f aca="false">(D58-C58)*100</f>
        <v>0.775401069518716</v>
      </c>
      <c r="F58" s="13"/>
    </row>
    <row r="59" customFormat="false" ht="15" hidden="false" customHeight="false" outlineLevel="0" collapsed="false">
      <c r="A59" s="8" t="s">
        <v>529</v>
      </c>
      <c r="B59" s="13" t="s">
        <v>530</v>
      </c>
      <c r="C59" s="10" t="n">
        <f aca="false">-BP!$B$14/Dados!$C$38</f>
        <v>2.64516129032258</v>
      </c>
      <c r="D59" s="10" t="n">
        <f aca="false">-BP!$C$14/Dados!$D$38</f>
        <v>1.96363636363636</v>
      </c>
      <c r="E59" s="31" t="n">
        <f aca="false">(D59-C59)*100</f>
        <v>-68.1524926686217</v>
      </c>
      <c r="F59" s="13" t="s">
        <v>531</v>
      </c>
    </row>
    <row r="60" customFormat="false" ht="15" hidden="false" customHeight="false" outlineLevel="0" collapsed="false">
      <c r="A60" s="8" t="s">
        <v>532</v>
      </c>
      <c r="B60" s="13" t="s">
        <v>533</v>
      </c>
      <c r="C60" s="10" t="n">
        <f aca="false">Dados!$C$47/Dados!$C$44</f>
        <v>0.808103448275862</v>
      </c>
      <c r="D60" s="10" t="n">
        <f aca="false">Dados!$D$47/Dados!$D$44</f>
        <v>0.797</v>
      </c>
      <c r="E60" s="31" t="n">
        <f aca="false">(D60-C60)*100</f>
        <v>-1.11034482758621</v>
      </c>
      <c r="F60" s="13"/>
    </row>
    <row r="61" customFormat="false" ht="15" hidden="false" customHeight="false" outlineLevel="0" collapsed="false">
      <c r="A61" s="8" t="s">
        <v>534</v>
      </c>
      <c r="B61" s="13" t="s">
        <v>535</v>
      </c>
      <c r="C61" s="29" t="n">
        <f aca="false">-DSP!$B$22/AVERAGE(Dados!$B$18,Dados!$C$18)</f>
        <v>0.0297734627831715</v>
      </c>
      <c r="D61" s="29" t="n">
        <f aca="false">-DSP!$C$22/AVERAGE(Dados!$C$18,Dados!$D$18)</f>
        <v>0.0364672364672365</v>
      </c>
      <c r="E61" s="31" t="n">
        <f aca="false">(D61-C61)*100</f>
        <v>0.669377368406494</v>
      </c>
      <c r="F61" s="13" t="s">
        <v>536</v>
      </c>
    </row>
    <row r="62" customFormat="false" ht="15" hidden="false" customHeight="false" outlineLevel="0" collapsed="false">
      <c r="A62" s="8" t="s">
        <v>537</v>
      </c>
      <c r="B62" s="13" t="s">
        <v>538</v>
      </c>
      <c r="C62" s="29" t="n">
        <f aca="false">-Gerencial!$B$14/AVERAGE(Dados!$B$18,Dados!$C$18)</f>
        <v>0.0252427184466019</v>
      </c>
      <c r="D62" s="29" t="n">
        <f aca="false">-Gerencial!$C$14/AVERAGE(Dados!$C$18,Dados!$D$18)</f>
        <v>0.0313390313390313</v>
      </c>
      <c r="E62" s="31" t="n">
        <f aca="false">(D62-C62)*100</f>
        <v>0.60963128924294</v>
      </c>
      <c r="F62" s="13"/>
    </row>
    <row r="63" customFormat="false" ht="15" hidden="false" customHeight="false" outlineLevel="0" collapsed="false">
      <c r="A63" s="8" t="s">
        <v>539</v>
      </c>
      <c r="B63" s="13" t="s">
        <v>540</v>
      </c>
      <c r="C63" s="12" t="n">
        <f aca="false">-(Dados!$B$19+DSP!$B$22-Dados!$C$19)</f>
        <v>32000</v>
      </c>
      <c r="D63" s="12" t="n">
        <f aca="false">-(Dados!$C$19+DSP!$C$22-Dados!$D$19)</f>
        <v>38000</v>
      </c>
      <c r="E63" s="10" t="n">
        <f aca="false">IFERROR(D63/C63-1,"n.a.")</f>
        <v>0.1875</v>
      </c>
      <c r="F63" s="13"/>
    </row>
    <row r="64" customFormat="false" ht="15" hidden="false" customHeight="false" outlineLevel="0" collapsed="false">
      <c r="A64" s="7" t="s">
        <v>541</v>
      </c>
      <c r="B64" s="7"/>
      <c r="C64" s="7"/>
      <c r="D64" s="7"/>
      <c r="E64" s="7"/>
      <c r="F64" s="7"/>
    </row>
    <row r="65" customFormat="false" ht="15" hidden="false" customHeight="false" outlineLevel="0" collapsed="false">
      <c r="A65" s="8" t="s">
        <v>542</v>
      </c>
      <c r="B65" s="13" t="s">
        <v>543</v>
      </c>
      <c r="C65" s="20" t="n">
        <f aca="false">RWA!$D$22</f>
        <v>2161295.5</v>
      </c>
      <c r="D65" s="20" t="n">
        <f aca="false">RWA!$F$22</f>
        <v>2474053.5</v>
      </c>
      <c r="E65" s="10" t="n">
        <f aca="false">IFERROR(D65/C65-1,"n.a.")</f>
        <v>0.144708578720494</v>
      </c>
      <c r="F65" s="13"/>
    </row>
    <row r="66" customFormat="false" ht="15" hidden="false" customHeight="false" outlineLevel="0" collapsed="false">
      <c r="A66" s="8" t="s">
        <v>544</v>
      </c>
      <c r="B66" s="13" t="s">
        <v>545</v>
      </c>
      <c r="C66" s="20" t="n">
        <f aca="false">RWA!$D$18</f>
        <v>1791608</v>
      </c>
      <c r="D66" s="20" t="n">
        <f aca="false">RWA!$F$18</f>
        <v>2036616</v>
      </c>
      <c r="E66" s="10" t="n">
        <f aca="false">IFERROR(D66/C66-1,"n.a.")</f>
        <v>0.13675312903269</v>
      </c>
      <c r="F66" s="13"/>
    </row>
    <row r="67" customFormat="false" ht="15" hidden="false" customHeight="false" outlineLevel="0" collapsed="false">
      <c r="A67" s="8" t="s">
        <v>546</v>
      </c>
      <c r="B67" s="13" t="s">
        <v>547</v>
      </c>
      <c r="C67" s="20" t="n">
        <f aca="false">RWA!$D$20</f>
        <v>366687.5</v>
      </c>
      <c r="D67" s="20" t="n">
        <f aca="false">RWA!$F$20</f>
        <v>433437.5</v>
      </c>
      <c r="E67" s="10" t="n">
        <f aca="false">IFERROR(D67/C67-1,"n.a.")</f>
        <v>0.182035111641384</v>
      </c>
      <c r="F67" s="13"/>
    </row>
    <row r="68" customFormat="false" ht="15" hidden="false" customHeight="false" outlineLevel="0" collapsed="false">
      <c r="A68" s="8" t="s">
        <v>548</v>
      </c>
      <c r="B68" s="13"/>
      <c r="C68" s="34" t="n">
        <f aca="false">RWA!$D$23</f>
        <v>0.795313224460358</v>
      </c>
      <c r="D68" s="34" t="n">
        <f aca="false">RWA!$F$23</f>
        <v>0.801681583108669</v>
      </c>
      <c r="E68" s="31" t="n">
        <f aca="false">(D68-C68)*100</f>
        <v>0.636835864831098</v>
      </c>
      <c r="F68" s="13" t="s">
        <v>549</v>
      </c>
    </row>
    <row r="69" customFormat="false" ht="15" hidden="false" customHeight="false" outlineLevel="0" collapsed="false">
      <c r="A69" s="7" t="s">
        <v>550</v>
      </c>
      <c r="B69" s="7"/>
      <c r="C69" s="7"/>
      <c r="D69" s="7"/>
      <c r="E69" s="7"/>
      <c r="F69" s="7"/>
    </row>
    <row r="70" customFormat="false" ht="15" hidden="false" customHeight="false" outlineLevel="0" collapsed="false">
      <c r="A70" s="8" t="s">
        <v>551</v>
      </c>
      <c r="B70" s="13" t="s">
        <v>552</v>
      </c>
      <c r="C70" s="20" t="n">
        <f aca="false">RWA!$D$28</f>
        <v>298540</v>
      </c>
      <c r="D70" s="20" t="n">
        <f aca="false">RWA!$F$28</f>
        <v>356080</v>
      </c>
      <c r="E70" s="10" t="n">
        <f aca="false">IFERROR(D70/C70-1,"n.a.")</f>
        <v>0.19273799155892</v>
      </c>
      <c r="F70" s="13"/>
    </row>
    <row r="71" customFormat="false" ht="15" hidden="false" customHeight="false" outlineLevel="0" collapsed="false">
      <c r="A71" s="8" t="s">
        <v>553</v>
      </c>
      <c r="B71" s="13" t="s">
        <v>554</v>
      </c>
      <c r="C71" s="35" t="n">
        <f aca="false">RWA!$D$29</f>
        <v>0.138130116867407</v>
      </c>
      <c r="D71" s="35" t="n">
        <f aca="false">RWA!$F$29</f>
        <v>0.143925747765762</v>
      </c>
      <c r="E71" s="31" t="n">
        <f aca="false">(D71-C71)*100</f>
        <v>0.579563089835511</v>
      </c>
      <c r="F71" s="13" t="s">
        <v>555</v>
      </c>
    </row>
    <row r="72" customFormat="false" ht="15" hidden="false" customHeight="false" outlineLevel="0" collapsed="false">
      <c r="A72" s="8" t="s">
        <v>556</v>
      </c>
      <c r="B72" s="13" t="s">
        <v>557</v>
      </c>
      <c r="C72" s="36" t="n">
        <f aca="false">RWA!$D$31</f>
        <v>3.31301168674066</v>
      </c>
      <c r="D72" s="36" t="n">
        <f aca="false">RWA!$F$31</f>
        <v>3.89257477657617</v>
      </c>
      <c r="E72" s="31" t="n">
        <f aca="false">D72-C72</f>
        <v>0.579563089835511</v>
      </c>
      <c r="F72" s="13" t="s">
        <v>558</v>
      </c>
    </row>
    <row r="73" customFormat="false" ht="15" hidden="false" customHeight="false" outlineLevel="0" collapsed="false">
      <c r="A73" s="8" t="s">
        <v>559</v>
      </c>
      <c r="B73" s="13" t="s">
        <v>560</v>
      </c>
      <c r="C73" s="20" t="n">
        <f aca="false">RWA!$D$33</f>
        <v>206385.909090909</v>
      </c>
      <c r="D73" s="20" t="n">
        <f aca="false">RWA!$F$33</f>
        <v>340533.181818182</v>
      </c>
      <c r="E73" s="10" t="n">
        <f aca="false">IFERROR(D73/C73-1,"n.a.")</f>
        <v>0.649982711117082</v>
      </c>
      <c r="F73" s="13"/>
    </row>
    <row r="74" customFormat="false" ht="15" hidden="false" customHeight="false" outlineLevel="0" collapsed="false">
      <c r="A74" s="7" t="s">
        <v>561</v>
      </c>
      <c r="B74" s="7"/>
      <c r="C74" s="7"/>
      <c r="D74" s="7"/>
      <c r="E74" s="7"/>
      <c r="F74" s="7"/>
    </row>
    <row r="75" customFormat="false" ht="15" hidden="false" customHeight="false" outlineLevel="0" collapsed="false">
      <c r="A75" s="8" t="s">
        <v>562</v>
      </c>
      <c r="B75" s="13" t="s">
        <v>563</v>
      </c>
      <c r="C75" s="20" t="n">
        <f aca="false">Dados!$C$15</f>
        <v>923540</v>
      </c>
      <c r="D75" s="20" t="n">
        <f aca="false">Dados!$D$15</f>
        <v>1055080</v>
      </c>
      <c r="E75" s="10" t="n">
        <f aca="false">IFERROR(D75/C75-1,"n.a.")</f>
        <v>0.142430214175888</v>
      </c>
      <c r="F75" s="13"/>
    </row>
    <row r="76" customFormat="false" ht="15" hidden="false" customHeight="false" outlineLevel="0" collapsed="false">
      <c r="A76" s="8" t="s">
        <v>564</v>
      </c>
      <c r="B76" s="13"/>
      <c r="C76" s="10" t="n">
        <f aca="false">Dados!$C$15/BP!$B$23</f>
        <v>0.33984412372955</v>
      </c>
      <c r="D76" s="10" t="n">
        <f aca="false">Dados!$D$15/BP!$C$23</f>
        <v>0.341883554541684</v>
      </c>
      <c r="E76" s="31" t="n">
        <f aca="false">(D76-C76)*100</f>
        <v>0.203943081213442</v>
      </c>
      <c r="F76" s="13"/>
    </row>
    <row r="77" customFormat="false" ht="15" hidden="false" customHeight="false" outlineLevel="0" collapsed="false">
      <c r="A77" s="8" t="s">
        <v>565</v>
      </c>
      <c r="B77" s="13" t="s">
        <v>566</v>
      </c>
      <c r="C77" s="32" t="n">
        <f aca="false">Dados!$C$15/(Dados!$B$83*BP!$B$28)</f>
        <v>1.59506044905009</v>
      </c>
      <c r="D77" s="32" t="n">
        <f aca="false">Dados!$D$15/(Dados!$B$83*BP!$C$28)</f>
        <v>1.62444957659738</v>
      </c>
      <c r="E77" s="32" t="n">
        <f aca="false">D77-C77</f>
        <v>0.0293891275472962</v>
      </c>
      <c r="F77" s="13" t="s">
        <v>567</v>
      </c>
    </row>
    <row r="78" customFormat="false" ht="15" hidden="false" customHeight="false" outlineLevel="0" collapsed="false">
      <c r="A78" s="8" t="s">
        <v>568</v>
      </c>
      <c r="B78" s="13" t="s">
        <v>569</v>
      </c>
      <c r="C78" s="32" t="n">
        <f aca="false">(BP!$B$6+BP!$B$7)/BP!$B$25</f>
        <v>1.85523076923077</v>
      </c>
      <c r="D78" s="32" t="n">
        <f aca="false">(BP!$C$6+BP!$C$7)/BP!$C$25</f>
        <v>2.00019512195122</v>
      </c>
      <c r="E78" s="32" t="n">
        <f aca="false">D78-C78</f>
        <v>0.14496435272045</v>
      </c>
      <c r="F78" s="13"/>
    </row>
    <row r="79" customFormat="false" ht="15" hidden="false" customHeight="false" outlineLevel="0" collapsed="false">
      <c r="A79" s="8" t="s">
        <v>570</v>
      </c>
      <c r="B79" s="13" t="s">
        <v>571</v>
      </c>
      <c r="C79" s="12" t="n">
        <f aca="false">BP!$B$6+BP!$B$9+BP!$B$7</f>
        <v>863540</v>
      </c>
      <c r="D79" s="12" t="n">
        <f aca="false">BP!$C$6+BP!$C$9+BP!$C$7</f>
        <v>970080</v>
      </c>
      <c r="E79" s="10" t="n">
        <f aca="false">IFERROR(D79/C79-1,"n.a.")</f>
        <v>0.123375871413021</v>
      </c>
      <c r="F79" s="13"/>
    </row>
    <row r="80" customFormat="false" ht="15" hidden="false" customHeight="false" outlineLevel="0" collapsed="false">
      <c r="A80" s="8" t="s">
        <v>572</v>
      </c>
      <c r="B80" s="13" t="s">
        <v>573</v>
      </c>
      <c r="C80" s="12" t="n">
        <f aca="false">BP!$B$25*Dados!$C$118+BP!$B$26*Dados!$C$119+BP!$B$27*Dados!$C$120+Dados!$C$121+Dados!$C$122+Dados!$C$123*Dados!$C$124+Dados!$C$125</f>
        <v>296100</v>
      </c>
      <c r="D80" s="12" t="n">
        <f aca="false">BP!$C$25*Dados!$D$118+BP!$C$26*Dados!$D$119+BP!$C$27*Dados!$D$120+Dados!$D$121+Dados!$D$122+Dados!$D$123*Dados!$D$124+Dados!$D$125</f>
        <v>330400</v>
      </c>
      <c r="E80" s="10" t="n">
        <f aca="false">IFERROR(D80/C80-1,"n.a.")</f>
        <v>0.115839243498818</v>
      </c>
      <c r="F80" s="13"/>
    </row>
    <row r="81" customFormat="false" ht="15" hidden="false" customHeight="false" outlineLevel="0" collapsed="false">
      <c r="A81" s="8" t="s">
        <v>574</v>
      </c>
      <c r="B81" s="13" t="s">
        <v>575</v>
      </c>
      <c r="C81" s="12" t="n">
        <f aca="false">MIN(Dados!$C$126*Dados!$C$127+Dados!$C$128,Dados!$B$129*C80)</f>
        <v>92500</v>
      </c>
      <c r="D81" s="12" t="n">
        <f aca="false">MIN(Dados!$D$126*Dados!$D$127+Dados!$D$128,Dados!$B$129*D80)</f>
        <v>105000</v>
      </c>
      <c r="E81" s="10" t="n">
        <f aca="false">IFERROR(D81/C81-1,"n.a.")</f>
        <v>0.135135135135135</v>
      </c>
      <c r="F81" s="13"/>
    </row>
    <row r="82" customFormat="false" ht="15" hidden="false" customHeight="false" outlineLevel="0" collapsed="false">
      <c r="A82" s="8" t="s">
        <v>576</v>
      </c>
      <c r="B82" s="13" t="s">
        <v>577</v>
      </c>
      <c r="C82" s="10" t="n">
        <f aca="false">C79/(C80-C81)</f>
        <v>4.24135559921415</v>
      </c>
      <c r="D82" s="10" t="n">
        <f aca="false">D79/(D80-D81)</f>
        <v>4.30381543921917</v>
      </c>
      <c r="E82" s="31" t="n">
        <f aca="false">(D82-C82)*100</f>
        <v>6.24598400050207</v>
      </c>
      <c r="F82" s="13" t="s">
        <v>578</v>
      </c>
    </row>
    <row r="83" customFormat="false" ht="15" hidden="false" customHeight="false" outlineLevel="0" collapsed="false">
      <c r="A83" s="7" t="s">
        <v>579</v>
      </c>
      <c r="B83" s="7"/>
      <c r="C83" s="7"/>
      <c r="D83" s="7"/>
      <c r="E83" s="7"/>
      <c r="F83" s="7"/>
    </row>
    <row r="84" customFormat="false" ht="15" hidden="false" customHeight="false" outlineLevel="0" collapsed="false">
      <c r="A84" s="8" t="s">
        <v>580</v>
      </c>
      <c r="B84" s="13"/>
      <c r="C84" s="12" t="n">
        <f aca="false">Dados!$C$54-AVERAGE(Dados!$B$16,Dados!$C$16)*Dados!$C$102</f>
        <v>109720</v>
      </c>
      <c r="D84" s="12" t="n">
        <f aca="false">Dados!$D$54-AVERAGE(Dados!$C$16,Dados!$D$16)*Dados!$D$102</f>
        <v>96000</v>
      </c>
      <c r="E84" s="10" t="n">
        <f aca="false">IFERROR(D84/C84-1,"n.a.")</f>
        <v>-0.125045570543201</v>
      </c>
      <c r="F84" s="13"/>
    </row>
    <row r="85" customFormat="false" ht="15" hidden="false" customHeight="false" outlineLevel="0" collapsed="false">
      <c r="A85" s="8" t="s">
        <v>581</v>
      </c>
      <c r="B85" s="13"/>
      <c r="C85" s="12" t="n">
        <f aca="false">Dados!$C$55-AVERAGE(Dados!$B$17,Dados!$C$17)*Dados!$C$103</f>
        <v>14700</v>
      </c>
      <c r="D85" s="12" t="n">
        <f aca="false">Dados!$D$55-AVERAGE(Dados!$C$17,Dados!$D$17)*Dados!$D$103</f>
        <v>9460</v>
      </c>
      <c r="E85" s="10" t="n">
        <f aca="false">IFERROR(D85/C85-1,"n.a.")</f>
        <v>-0.356462585034014</v>
      </c>
      <c r="F85" s="13"/>
    </row>
    <row r="86" customFormat="false" ht="15" hidden="false" customHeight="false" outlineLevel="0" collapsed="false">
      <c r="A86" s="8" t="s">
        <v>582</v>
      </c>
      <c r="B86" s="13"/>
      <c r="C86" s="12" t="n">
        <f aca="false">AVERAGE(Dados!$B$20,Dados!$C$20)*Dados!$C$104</f>
        <v>36750</v>
      </c>
      <c r="D86" s="12" t="n">
        <f aca="false">AVERAGE(Dados!$C$20,Dados!$D$20)*Dados!$D$104</f>
        <v>51600</v>
      </c>
      <c r="E86" s="10" t="n">
        <f aca="false">IFERROR(D86/C86-1,"n.a.")</f>
        <v>0.404081632653061</v>
      </c>
      <c r="F86" s="13"/>
    </row>
    <row r="87" customFormat="false" ht="15" hidden="false" customHeight="false" outlineLevel="0" collapsed="false">
      <c r="A87" s="8" t="s">
        <v>583</v>
      </c>
      <c r="B87" s="13"/>
      <c r="C87" s="12" t="n">
        <f aca="false">AVERAGE(Dados!$B$21,Dados!$C$21)*Dados!$C$105+DSP!$B$13</f>
        <v>3600</v>
      </c>
      <c r="D87" s="12" t="n">
        <f aca="false">AVERAGE(Dados!$C$21,Dados!$D$21)*Dados!$D$105+DSP!$C$13</f>
        <v>8200</v>
      </c>
      <c r="E87" s="10" t="n">
        <f aca="false">IFERROR(D87/C87-1,"n.a.")</f>
        <v>1.27777777777778</v>
      </c>
      <c r="F87" s="13"/>
    </row>
    <row r="88" customFormat="false" ht="15" hidden="false" customHeight="false" outlineLevel="0" collapsed="false">
      <c r="A88" s="8" t="s">
        <v>584</v>
      </c>
      <c r="B88" s="13"/>
      <c r="C88" s="12" t="n">
        <f aca="false">AVERAGE(Dados!$B$22,Dados!$C$22)*Dados!$C$106+DSP!$B$14</f>
        <v>-2440</v>
      </c>
      <c r="D88" s="12" t="n">
        <f aca="false">AVERAGE(Dados!$C$22,Dados!$D$22)*Dados!$D$106+DSP!$C$14</f>
        <v>-2125.00000000003</v>
      </c>
      <c r="E88" s="10" t="n">
        <f aca="false">IFERROR(D88/C88-1,"n.a.")</f>
        <v>-0.129098360655726</v>
      </c>
      <c r="F88" s="13"/>
    </row>
    <row r="89" customFormat="false" ht="15" hidden="false" customHeight="false" outlineLevel="0" collapsed="false">
      <c r="A89" s="8" t="s">
        <v>585</v>
      </c>
      <c r="B89" s="13"/>
      <c r="C89" s="12" t="n">
        <f aca="false">AVERAGE(Dados!$B$24,Dados!$C$24)*Dados!$C$107+DSP!$B$15</f>
        <v>280</v>
      </c>
      <c r="D89" s="12" t="n">
        <f aca="false">AVERAGE(Dados!$C$24,Dados!$D$24)*Dados!$D$107+DSP!$C$15</f>
        <v>560</v>
      </c>
      <c r="E89" s="10" t="n">
        <f aca="false">IFERROR(D89/C89-1,"n.a.")</f>
        <v>1</v>
      </c>
      <c r="F89" s="13"/>
    </row>
    <row r="90" customFormat="false" ht="15" hidden="false" customHeight="false" outlineLevel="0" collapsed="false">
      <c r="A90" s="8" t="s">
        <v>586</v>
      </c>
      <c r="B90" s="13" t="s">
        <v>587</v>
      </c>
      <c r="C90" s="12" t="n">
        <f aca="false">Gerencial!$B$9-SUM(C84:C89)</f>
        <v>30590</v>
      </c>
      <c r="D90" s="12" t="n">
        <f aca="false">Gerencial!$C$9-SUM(D84:D89)</f>
        <v>41105</v>
      </c>
      <c r="E90" s="10" t="n">
        <f aca="false">IFERROR(D90/C90-1,"n.a.")</f>
        <v>0.343739784243218</v>
      </c>
      <c r="F90" s="13" t="s">
        <v>588</v>
      </c>
    </row>
    <row r="91" customFormat="false" ht="15" hidden="false" customHeight="false" outlineLevel="0" collapsed="false">
      <c r="A91" s="7" t="s">
        <v>589</v>
      </c>
      <c r="B91" s="7"/>
      <c r="C91" s="7"/>
      <c r="D91" s="7"/>
      <c r="E91" s="7"/>
      <c r="F91" s="7"/>
    </row>
    <row r="92" customFormat="false" ht="15" hidden="false" customHeight="false" outlineLevel="0" collapsed="false">
      <c r="A92" s="8" t="s">
        <v>590</v>
      </c>
      <c r="B92" s="13"/>
      <c r="C92" s="20" t="n">
        <f aca="false">BP!$B$45</f>
        <v>0</v>
      </c>
      <c r="D92" s="20" t="n">
        <f aca="false">BP!$C$45</f>
        <v>0</v>
      </c>
      <c r="F92" s="13" t="s">
        <v>591</v>
      </c>
    </row>
    <row r="93" customFormat="false" ht="15" hidden="false" customHeight="false" outlineLevel="0" collapsed="false">
      <c r="A93" s="8" t="s">
        <v>592</v>
      </c>
      <c r="B93" s="13"/>
      <c r="C93" s="20" t="n">
        <f aca="false">Gerencial!$B$19</f>
        <v>0</v>
      </c>
      <c r="D93" s="20" t="n">
        <f aca="false">Gerencial!$C$19</f>
        <v>0</v>
      </c>
      <c r="F93" s="13" t="s">
        <v>591</v>
      </c>
    </row>
    <row r="95" customFormat="false" ht="15" hidden="false" customHeight="false" outlineLevel="0" collapsed="false">
      <c r="A95" s="7" t="s">
        <v>593</v>
      </c>
      <c r="B95" s="7"/>
      <c r="C95" s="7"/>
      <c r="D95" s="7"/>
      <c r="E95" s="7"/>
      <c r="F95" s="7"/>
    </row>
    <row r="96" customFormat="false" ht="15" hidden="false" customHeight="false" outlineLevel="0" collapsed="false">
      <c r="A96" s="6" t="s">
        <v>594</v>
      </c>
      <c r="B96" s="6" t="s">
        <v>187</v>
      </c>
      <c r="C96" s="6" t="s">
        <v>595</v>
      </c>
      <c r="D96" s="6" t="s">
        <v>596</v>
      </c>
      <c r="E96" s="6"/>
      <c r="F96" s="6"/>
    </row>
    <row r="97" customFormat="false" ht="15" hidden="false" customHeight="false" outlineLevel="0" collapsed="false">
      <c r="A97" s="8" t="s">
        <v>597</v>
      </c>
      <c r="B97" s="13" t="s">
        <v>598</v>
      </c>
      <c r="C97" s="12" t="n">
        <f aca="false">AVERAGE(Dados!$C$16,Dados!$D$16)</f>
        <v>1200000</v>
      </c>
      <c r="D97" s="12" t="n">
        <f aca="false">AVERAGE(Dados!$C$17,Dados!$D$17)</f>
        <v>555000</v>
      </c>
    </row>
    <row r="98" customFormat="false" ht="15" hidden="false" customHeight="false" outlineLevel="0" collapsed="false">
      <c r="A98" s="8" t="s">
        <v>599</v>
      </c>
      <c r="B98" s="13"/>
      <c r="C98" s="12" t="n">
        <f aca="false">AVERAGE(Dados!$C$48,Dados!$D$48)</f>
        <v>81000</v>
      </c>
      <c r="D98" s="12" t="n">
        <f aca="false">AVERAGE(Dados!$C$49,Dados!$D$49)</f>
        <v>14000</v>
      </c>
    </row>
    <row r="99" customFormat="false" ht="15" hidden="false" customHeight="false" outlineLevel="0" collapsed="false">
      <c r="A99" s="8" t="s">
        <v>600</v>
      </c>
      <c r="B99" s="13" t="s">
        <v>601</v>
      </c>
      <c r="C99" s="12" t="n">
        <f aca="false">D84</f>
        <v>96000</v>
      </c>
      <c r="D99" s="12" t="n">
        <f aca="false">D85</f>
        <v>9460</v>
      </c>
    </row>
    <row r="100" customFormat="false" ht="15" hidden="false" customHeight="false" outlineLevel="0" collapsed="false">
      <c r="A100" s="8" t="s">
        <v>602</v>
      </c>
      <c r="B100" s="13" t="s">
        <v>603</v>
      </c>
      <c r="C100" s="12" t="n">
        <f aca="false">C97*Dados!$B$110</f>
        <v>42000</v>
      </c>
      <c r="D100" s="12" t="n">
        <f aca="false">D97*Dados!$B$111</f>
        <v>8325</v>
      </c>
    </row>
    <row r="101" customFormat="false" ht="15" hidden="false" customHeight="false" outlineLevel="0" collapsed="false">
      <c r="A101" s="8" t="s">
        <v>604</v>
      </c>
      <c r="B101" s="13" t="s">
        <v>605</v>
      </c>
      <c r="C101" s="12" t="n">
        <f aca="false">C97*Dados!$B$112</f>
        <v>45600</v>
      </c>
      <c r="D101" s="12" t="n">
        <f aca="false">D97*Dados!$B$113</f>
        <v>5550</v>
      </c>
    </row>
    <row r="102" customFormat="false" ht="15" hidden="false" customHeight="false" outlineLevel="0" collapsed="false">
      <c r="A102" s="8" t="s">
        <v>606</v>
      </c>
      <c r="B102" s="13" t="s">
        <v>607</v>
      </c>
      <c r="C102" s="12" t="n">
        <f aca="false">(C97-C98)*Dados!$B$92</f>
        <v>951150</v>
      </c>
      <c r="D102" s="12" t="n">
        <f aca="false">(D97-D98)*Dados!$B$93</f>
        <v>405750</v>
      </c>
    </row>
    <row r="103" customFormat="false" ht="15" hidden="false" customHeight="false" outlineLevel="0" collapsed="false">
      <c r="A103" s="8" t="s">
        <v>608</v>
      </c>
      <c r="B103" s="13" t="s">
        <v>609</v>
      </c>
      <c r="C103" s="12" t="n">
        <f aca="false">C102*Dados!$B$114</f>
        <v>118893.75</v>
      </c>
      <c r="D103" s="12" t="n">
        <f aca="false">D102*Dados!$B$114</f>
        <v>50718.75</v>
      </c>
    </row>
    <row r="104" customFormat="false" ht="15" hidden="false" customHeight="false" outlineLevel="0" collapsed="false">
      <c r="A104" s="8" t="s">
        <v>610</v>
      </c>
      <c r="B104" s="13" t="s">
        <v>611</v>
      </c>
      <c r="C104" s="12" t="n">
        <f aca="false">C103*Dados!$D$102</f>
        <v>17834.0625</v>
      </c>
      <c r="D104" s="12" t="n">
        <f aca="false">D103*Dados!$D$103</f>
        <v>5477.625</v>
      </c>
    </row>
    <row r="105" customFormat="false" ht="15" hidden="false" customHeight="false" outlineLevel="0" collapsed="false">
      <c r="A105" s="3" t="s">
        <v>612</v>
      </c>
      <c r="B105" s="13" t="s">
        <v>613</v>
      </c>
      <c r="C105" s="26" t="n">
        <f aca="false">C99-C100-C101+C104</f>
        <v>26234.0625</v>
      </c>
      <c r="D105" s="26" t="n">
        <f aca="false">D99-D100-D101+D104</f>
        <v>1062.625</v>
      </c>
    </row>
    <row r="106" customFormat="false" ht="15" hidden="false" customHeight="false" outlineLevel="0" collapsed="false">
      <c r="A106" s="3" t="s">
        <v>614</v>
      </c>
      <c r="B106" s="13" t="s">
        <v>615</v>
      </c>
      <c r="C106" s="37" t="n">
        <f aca="false">C105/C103</f>
        <v>0.220651316826999</v>
      </c>
      <c r="D106" s="37" t="n">
        <f aca="false">D105/D103</f>
        <v>0.0209513247073321</v>
      </c>
    </row>
    <row r="107" customFormat="false" ht="15" hidden="false" customHeight="false" outlineLevel="0" collapsed="false">
      <c r="A107" s="8" t="s">
        <v>616</v>
      </c>
      <c r="B107" s="13" t="s">
        <v>617</v>
      </c>
      <c r="C107" s="31" t="n">
        <f aca="false">(C106-Dados!$B$115)*100</f>
        <v>7.06513168269989</v>
      </c>
      <c r="D107" s="31" t="n">
        <f aca="false">(D106-Dados!$B$115)*100</f>
        <v>-12.9048675292668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1" t="s">
        <v>618</v>
      </c>
      <c r="B1" s="2"/>
      <c r="C1" s="2"/>
      <c r="D1" s="2"/>
    </row>
    <row r="2" customFormat="false" ht="15" hidden="false" customHeight="false" outlineLevel="0" collapsed="false">
      <c r="A2" s="5" t="s">
        <v>619</v>
      </c>
    </row>
    <row r="3" customFormat="false" ht="39.75" hidden="false" customHeight="true" outlineLevel="0" collapsed="false">
      <c r="A3" s="38" t="s">
        <v>620</v>
      </c>
      <c r="B3" s="38"/>
      <c r="C3" s="38"/>
      <c r="D3" s="38"/>
    </row>
    <row r="5" customFormat="false" ht="15" hidden="false" customHeight="false" outlineLevel="0" collapsed="false">
      <c r="A5" s="6" t="s">
        <v>621</v>
      </c>
      <c r="B5" s="6" t="s">
        <v>352</v>
      </c>
      <c r="C5" s="6" t="s">
        <v>622</v>
      </c>
      <c r="D5" s="6" t="s">
        <v>623</v>
      </c>
    </row>
    <row r="6" customFormat="false" ht="55.5" hidden="false" customHeight="true" outlineLevel="0" collapsed="false">
      <c r="A6" s="39" t="n">
        <v>1</v>
      </c>
      <c r="B6" s="4" t="s">
        <v>624</v>
      </c>
      <c r="C6" s="40" t="s">
        <v>67</v>
      </c>
      <c r="D6" s="41" t="s">
        <v>625</v>
      </c>
    </row>
    <row r="7" customFormat="false" ht="55.5" hidden="false" customHeight="true" outlineLevel="0" collapsed="false">
      <c r="A7" s="39" t="n">
        <v>2</v>
      </c>
      <c r="B7" s="4" t="s">
        <v>626</v>
      </c>
      <c r="C7" s="40" t="s">
        <v>627</v>
      </c>
      <c r="D7" s="41" t="s">
        <v>628</v>
      </c>
    </row>
    <row r="8" customFormat="false" ht="55.5" hidden="false" customHeight="true" outlineLevel="0" collapsed="false">
      <c r="A8" s="39" t="n">
        <v>3</v>
      </c>
      <c r="B8" s="4" t="s">
        <v>629</v>
      </c>
      <c r="C8" s="40" t="s">
        <v>230</v>
      </c>
      <c r="D8" s="41" t="s">
        <v>630</v>
      </c>
    </row>
    <row r="9" customFormat="false" ht="55.5" hidden="false" customHeight="true" outlineLevel="0" collapsed="false">
      <c r="A9" s="39" t="n">
        <v>4</v>
      </c>
      <c r="B9" s="4" t="s">
        <v>631</v>
      </c>
      <c r="C9" s="40" t="s">
        <v>71</v>
      </c>
      <c r="D9" s="41" t="s">
        <v>632</v>
      </c>
    </row>
    <row r="10" customFormat="false" ht="55.5" hidden="false" customHeight="true" outlineLevel="0" collapsed="false">
      <c r="A10" s="39" t="n">
        <v>5</v>
      </c>
      <c r="B10" s="4" t="s">
        <v>633</v>
      </c>
      <c r="C10" s="40" t="s">
        <v>75</v>
      </c>
      <c r="D10" s="41" t="s">
        <v>634</v>
      </c>
    </row>
    <row r="11" customFormat="false" ht="55.5" hidden="false" customHeight="true" outlineLevel="0" collapsed="false">
      <c r="A11" s="39" t="n">
        <v>6</v>
      </c>
      <c r="B11" s="4" t="s">
        <v>635</v>
      </c>
      <c r="C11" s="40" t="s">
        <v>54</v>
      </c>
      <c r="D11" s="41" t="s">
        <v>636</v>
      </c>
    </row>
    <row r="12" customFormat="false" ht="55.5" hidden="false" customHeight="true" outlineLevel="0" collapsed="false">
      <c r="A12" s="39" t="n">
        <v>7</v>
      </c>
      <c r="B12" s="4" t="s">
        <v>637</v>
      </c>
      <c r="C12" s="40" t="s">
        <v>94</v>
      </c>
      <c r="D12" s="41" t="s">
        <v>638</v>
      </c>
    </row>
    <row r="13" customFormat="false" ht="55.5" hidden="false" customHeight="true" outlineLevel="0" collapsed="false">
      <c r="A13" s="39" t="n">
        <v>8</v>
      </c>
      <c r="B13" s="4" t="s">
        <v>639</v>
      </c>
      <c r="C13" s="40" t="s">
        <v>640</v>
      </c>
      <c r="D13" s="41" t="s">
        <v>641</v>
      </c>
    </row>
    <row r="14" customFormat="false" ht="55.5" hidden="false" customHeight="true" outlineLevel="0" collapsed="false">
      <c r="A14" s="39" t="n">
        <v>9</v>
      </c>
      <c r="B14" s="4" t="s">
        <v>642</v>
      </c>
      <c r="C14" s="40" t="s">
        <v>643</v>
      </c>
      <c r="D14" s="41" t="s">
        <v>644</v>
      </c>
    </row>
    <row r="15" customFormat="false" ht="55.5" hidden="false" customHeight="true" outlineLevel="0" collapsed="false">
      <c r="A15" s="39" t="n">
        <v>10</v>
      </c>
      <c r="B15" s="4" t="s">
        <v>645</v>
      </c>
      <c r="C15" s="40" t="s">
        <v>394</v>
      </c>
      <c r="D15" s="41" t="s">
        <v>646</v>
      </c>
    </row>
    <row r="16" customFormat="false" ht="55.5" hidden="false" customHeight="true" outlineLevel="0" collapsed="false">
      <c r="A16" s="39" t="n">
        <v>11</v>
      </c>
      <c r="B16" s="4" t="s">
        <v>647</v>
      </c>
      <c r="C16" s="40" t="s">
        <v>648</v>
      </c>
      <c r="D16" s="41" t="s">
        <v>649</v>
      </c>
    </row>
    <row r="17" customFormat="false" ht="55.5" hidden="false" customHeight="true" outlineLevel="0" collapsed="false">
      <c r="A17" s="39" t="n">
        <v>12</v>
      </c>
      <c r="B17" s="4" t="s">
        <v>650</v>
      </c>
      <c r="C17" s="40" t="s">
        <v>62</v>
      </c>
      <c r="D17" s="41" t="s">
        <v>651</v>
      </c>
    </row>
    <row r="18" customFormat="false" ht="55.5" hidden="false" customHeight="true" outlineLevel="0" collapsed="false">
      <c r="A18" s="39" t="n">
        <v>13</v>
      </c>
      <c r="B18" s="4" t="s">
        <v>652</v>
      </c>
      <c r="C18" s="40" t="s">
        <v>653</v>
      </c>
      <c r="D18" s="41" t="s">
        <v>654</v>
      </c>
    </row>
    <row r="19" customFormat="false" ht="55.5" hidden="false" customHeight="true" outlineLevel="0" collapsed="false">
      <c r="A19" s="39" t="n">
        <v>14</v>
      </c>
      <c r="B19" s="4" t="s">
        <v>655</v>
      </c>
      <c r="C19" s="40" t="s">
        <v>71</v>
      </c>
      <c r="D19" s="41" t="s">
        <v>656</v>
      </c>
    </row>
    <row r="20" customFormat="false" ht="55.5" hidden="false" customHeight="true" outlineLevel="0" collapsed="false">
      <c r="A20" s="39" t="n">
        <v>15</v>
      </c>
      <c r="B20" s="4" t="s">
        <v>657</v>
      </c>
      <c r="C20" s="40" t="s">
        <v>89</v>
      </c>
      <c r="D20" s="41" t="s">
        <v>658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659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660</v>
      </c>
    </row>
    <row r="3" customFormat="false" ht="60" hidden="false" customHeight="true" outlineLevel="0" collapsed="false">
      <c r="A3" s="38" t="s">
        <v>661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662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39"/>
      <c r="B7" s="4" t="s">
        <v>667</v>
      </c>
      <c r="C7" s="20" t="n">
        <f aca="false">BP!$B$44</f>
        <v>2717540</v>
      </c>
      <c r="D7" s="43" t="s">
        <v>668</v>
      </c>
      <c r="E7" s="44" t="s">
        <v>669</v>
      </c>
      <c r="F7" s="41" t="s">
        <v>670</v>
      </c>
    </row>
    <row r="8" customFormat="false" ht="42" hidden="false" customHeight="true" outlineLevel="0" collapsed="false">
      <c r="A8" s="39"/>
      <c r="B8" s="4" t="s">
        <v>671</v>
      </c>
      <c r="C8" s="20" t="n">
        <f aca="false">BP!$C$44</f>
        <v>3086080</v>
      </c>
      <c r="D8" s="43" t="s">
        <v>668</v>
      </c>
      <c r="E8" s="44" t="s">
        <v>672</v>
      </c>
      <c r="F8" s="41" t="s">
        <v>673</v>
      </c>
    </row>
    <row r="9" customFormat="false" ht="42" hidden="false" customHeight="true" outlineLevel="0" collapsed="false">
      <c r="A9" s="45" t="s">
        <v>674</v>
      </c>
      <c r="B9" s="46" t="s">
        <v>675</v>
      </c>
      <c r="C9" s="47" t="n">
        <f aca="false">BP!$B$27/C7</f>
        <v>0.489413219308639</v>
      </c>
      <c r="D9" s="43" t="s">
        <v>676</v>
      </c>
      <c r="E9" s="44" t="s">
        <v>677</v>
      </c>
      <c r="F9" s="41" t="s">
        <v>678</v>
      </c>
    </row>
    <row r="10" customFormat="false" ht="42" hidden="false" customHeight="true" outlineLevel="0" collapsed="false">
      <c r="A10" s="45" t="s">
        <v>679</v>
      </c>
      <c r="B10" s="46" t="s">
        <v>680</v>
      </c>
      <c r="C10" s="47" t="n">
        <f aca="false">BP!$C$27/C8</f>
        <v>0.492534218166736</v>
      </c>
      <c r="D10" s="43" t="s">
        <v>676</v>
      </c>
      <c r="E10" s="44" t="s">
        <v>681</v>
      </c>
      <c r="F10" s="41" t="s">
        <v>682</v>
      </c>
    </row>
    <row r="11" customFormat="false" ht="42" hidden="false" customHeight="true" outlineLevel="0" collapsed="false">
      <c r="A11" s="45" t="s">
        <v>683</v>
      </c>
      <c r="B11" s="46" t="s">
        <v>684</v>
      </c>
      <c r="C11" s="47" t="n">
        <f aca="false">BP!$B$25/C7</f>
        <v>0.143512147015315</v>
      </c>
      <c r="D11" s="43" t="s">
        <v>676</v>
      </c>
      <c r="E11" s="44" t="s">
        <v>685</v>
      </c>
      <c r="F11" s="41" t="s">
        <v>686</v>
      </c>
    </row>
    <row r="12" customFormat="false" ht="42" hidden="false" customHeight="true" outlineLevel="0" collapsed="false">
      <c r="A12" s="45" t="s">
        <v>687</v>
      </c>
      <c r="B12" s="46" t="s">
        <v>688</v>
      </c>
      <c r="C12" s="47" t="n">
        <f aca="false">BP!$C$25/C8</f>
        <v>0.13285462463708</v>
      </c>
      <c r="D12" s="43" t="s">
        <v>676</v>
      </c>
      <c r="E12" s="44" t="s">
        <v>689</v>
      </c>
      <c r="F12" s="41" t="s">
        <v>690</v>
      </c>
    </row>
    <row r="13" customFormat="false" ht="42" hidden="false" customHeight="true" outlineLevel="0" collapsed="false">
      <c r="A13" s="45" t="s">
        <v>691</v>
      </c>
      <c r="B13" s="46" t="s">
        <v>692</v>
      </c>
      <c r="C13" s="47" t="n">
        <f aca="false">BP!$C$43/C8</f>
        <v>0.113114371630029</v>
      </c>
      <c r="D13" s="43" t="s">
        <v>676</v>
      </c>
      <c r="E13" s="44" t="s">
        <v>693</v>
      </c>
      <c r="F13" s="41" t="s">
        <v>694</v>
      </c>
    </row>
    <row r="14" customFormat="false" ht="42" hidden="false" customHeight="true" outlineLevel="0" collapsed="false">
      <c r="A14" s="45" t="s">
        <v>695</v>
      </c>
      <c r="B14" s="46" t="s">
        <v>696</v>
      </c>
      <c r="C14" s="47" t="n">
        <f aca="false">(BP!$C$28+BP!$C$29)/C8</f>
        <v>0.750142575694733</v>
      </c>
      <c r="D14" s="43" t="s">
        <v>676</v>
      </c>
      <c r="E14" s="44" t="s">
        <v>697</v>
      </c>
      <c r="F14" s="41" t="s">
        <v>698</v>
      </c>
    </row>
    <row r="16" customFormat="false" ht="30" hidden="false" customHeight="true" outlineLevel="0" collapsed="false">
      <c r="A16" s="48" t="s">
        <v>699</v>
      </c>
      <c r="B16" s="38" t="s">
        <v>700</v>
      </c>
      <c r="C16" s="38"/>
      <c r="D16" s="38"/>
      <c r="E16" s="38"/>
      <c r="F16" s="38"/>
    </row>
  </sheetData>
  <mergeCells count="3">
    <mergeCell ref="A3:F3"/>
    <mergeCell ref="A4:F4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701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702</v>
      </c>
    </row>
    <row r="3" customFormat="false" ht="60" hidden="false" customHeight="true" outlineLevel="0" collapsed="false">
      <c r="A3" s="38" t="s">
        <v>703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704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45" t="s">
        <v>674</v>
      </c>
      <c r="B7" s="46" t="s">
        <v>705</v>
      </c>
      <c r="C7" s="47" t="n">
        <f aca="false">DSP!$C$6/DSP!$B$6-1</f>
        <v>0.187349604675146</v>
      </c>
      <c r="D7" s="43" t="s">
        <v>676</v>
      </c>
      <c r="E7" s="44" t="s">
        <v>706</v>
      </c>
      <c r="F7" s="41" t="s">
        <v>707</v>
      </c>
    </row>
    <row r="8" customFormat="false" ht="42" hidden="false" customHeight="true" outlineLevel="0" collapsed="false">
      <c r="A8" s="45" t="s">
        <v>679</v>
      </c>
      <c r="B8" s="46" t="s">
        <v>708</v>
      </c>
      <c r="C8" s="47" t="n">
        <f aca="false">DSP!$C$18/DSP!$B$18-1</f>
        <v>0.484084084084084</v>
      </c>
      <c r="D8" s="43" t="s">
        <v>676</v>
      </c>
      <c r="E8" s="44" t="s">
        <v>709</v>
      </c>
      <c r="F8" s="41" t="s">
        <v>710</v>
      </c>
    </row>
    <row r="9" customFormat="false" ht="42" hidden="false" customHeight="true" outlineLevel="0" collapsed="false">
      <c r="A9" s="45" t="s">
        <v>683</v>
      </c>
      <c r="B9" s="46" t="s">
        <v>711</v>
      </c>
      <c r="C9" s="47" t="n">
        <f aca="false">Gerencial!$C$9/Gerencial!$B$9-1</f>
        <v>0.0600414078674949</v>
      </c>
      <c r="D9" s="43" t="s">
        <v>676</v>
      </c>
      <c r="E9" s="44" t="s">
        <v>712</v>
      </c>
      <c r="F9" s="41" t="s">
        <v>713</v>
      </c>
    </row>
    <row r="10" customFormat="false" ht="42" hidden="false" customHeight="true" outlineLevel="0" collapsed="false">
      <c r="A10" s="45" t="s">
        <v>687</v>
      </c>
      <c r="B10" s="46" t="s">
        <v>714</v>
      </c>
      <c r="C10" s="47" t="n">
        <f aca="false">DSP!$C$22/DSP!$B$22-1</f>
        <v>0.391304347826087</v>
      </c>
      <c r="D10" s="43" t="s">
        <v>676</v>
      </c>
      <c r="E10" s="44" t="s">
        <v>715</v>
      </c>
      <c r="F10" s="41" t="s">
        <v>716</v>
      </c>
    </row>
    <row r="11" customFormat="false" ht="42" hidden="false" customHeight="true" outlineLevel="0" collapsed="false">
      <c r="A11" s="45" t="s">
        <v>691</v>
      </c>
      <c r="B11" s="46" t="s">
        <v>717</v>
      </c>
      <c r="C11" s="47" t="n">
        <f aca="false">DSP!$C$39/DSP!$B$39-1</f>
        <v>-0.0820512820512821</v>
      </c>
      <c r="D11" s="43" t="s">
        <v>676</v>
      </c>
      <c r="E11" s="44" t="s">
        <v>718</v>
      </c>
      <c r="F11" s="41" t="s">
        <v>719</v>
      </c>
    </row>
    <row r="13" customFormat="false" ht="45" hidden="false" customHeight="true" outlineLevel="0" collapsed="false">
      <c r="A13" s="48" t="s">
        <v>720</v>
      </c>
      <c r="B13" s="38" t="s">
        <v>721</v>
      </c>
      <c r="C13" s="38"/>
      <c r="D13" s="38"/>
      <c r="E13" s="38"/>
      <c r="F13" s="38"/>
    </row>
  </sheetData>
  <mergeCells count="3">
    <mergeCell ref="A3:F3"/>
    <mergeCell ref="A4:F4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722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723</v>
      </c>
    </row>
    <row r="3" customFormat="false" ht="60" hidden="false" customHeight="true" outlineLevel="0" collapsed="false">
      <c r="A3" s="38" t="s">
        <v>724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725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45" t="s">
        <v>674</v>
      </c>
      <c r="B7" s="46" t="s">
        <v>726</v>
      </c>
      <c r="C7" s="49" t="n">
        <f aca="false">DSP!$B$6+DSP!$B$8+DSP!$B$9+DSP!$B$10+DSP!$B$18+DSP!$B$21</f>
        <v>193200</v>
      </c>
      <c r="D7" s="43" t="s">
        <v>668</v>
      </c>
      <c r="E7" s="44" t="s">
        <v>727</v>
      </c>
      <c r="F7" s="41" t="s">
        <v>728</v>
      </c>
    </row>
    <row r="8" customFormat="false" ht="42" hidden="false" customHeight="true" outlineLevel="0" collapsed="false">
      <c r="A8" s="39"/>
      <c r="B8" s="4" t="s">
        <v>729</v>
      </c>
      <c r="C8" s="12" t="n">
        <f aca="false">AVERAGE(Dados!$B$9,Dados!$C$9)</f>
        <v>2553770</v>
      </c>
      <c r="D8" s="43" t="s">
        <v>668</v>
      </c>
      <c r="E8" s="44" t="s">
        <v>730</v>
      </c>
      <c r="F8" s="41" t="s">
        <v>731</v>
      </c>
    </row>
    <row r="9" customFormat="false" ht="42" hidden="false" customHeight="true" outlineLevel="0" collapsed="false">
      <c r="A9" s="45" t="s">
        <v>679</v>
      </c>
      <c r="B9" s="46" t="s">
        <v>732</v>
      </c>
      <c r="C9" s="47" t="n">
        <f aca="false">C7/C8</f>
        <v>0.0756528583231849</v>
      </c>
      <c r="D9" s="43" t="s">
        <v>676</v>
      </c>
      <c r="E9" s="44" t="s">
        <v>733</v>
      </c>
      <c r="F9" s="41" t="s">
        <v>734</v>
      </c>
    </row>
    <row r="10" customFormat="false" ht="42" hidden="false" customHeight="true" outlineLevel="0" collapsed="false">
      <c r="A10" s="39"/>
      <c r="B10" s="4" t="s">
        <v>735</v>
      </c>
      <c r="C10" s="12" t="n">
        <f aca="false">AVERAGE(Dados!$C$9,Dados!$D$9)</f>
        <v>2901810</v>
      </c>
      <c r="D10" s="43" t="s">
        <v>668</v>
      </c>
      <c r="E10" s="44" t="s">
        <v>736</v>
      </c>
      <c r="F10" s="41"/>
    </row>
    <row r="11" customFormat="false" ht="42" hidden="false" customHeight="true" outlineLevel="0" collapsed="false">
      <c r="A11" s="45" t="s">
        <v>683</v>
      </c>
      <c r="B11" s="46" t="s">
        <v>737</v>
      </c>
      <c r="C11" s="47" t="n">
        <f aca="false">Gerencial!$C$9/C10</f>
        <v>0.0705766400970429</v>
      </c>
      <c r="D11" s="43" t="s">
        <v>676</v>
      </c>
      <c r="E11" s="44" t="s">
        <v>738</v>
      </c>
      <c r="F11" s="41" t="s">
        <v>739</v>
      </c>
    </row>
    <row r="12" customFormat="false" ht="42" hidden="false" customHeight="true" outlineLevel="0" collapsed="false">
      <c r="A12" s="45" t="s">
        <v>687</v>
      </c>
      <c r="B12" s="46" t="s">
        <v>740</v>
      </c>
      <c r="C12" s="50" t="n">
        <f aca="false">(C11-C9)*100</f>
        <v>-0.507621822614206</v>
      </c>
      <c r="D12" s="43" t="s">
        <v>741</v>
      </c>
      <c r="E12" s="44" t="s">
        <v>742</v>
      </c>
      <c r="F12" s="41" t="s">
        <v>743</v>
      </c>
    </row>
    <row r="14" customFormat="false" ht="30" hidden="false" customHeight="true" outlineLevel="0" collapsed="false">
      <c r="A14" s="48" t="s">
        <v>699</v>
      </c>
      <c r="B14" s="38" t="s">
        <v>744</v>
      </c>
      <c r="C14" s="38"/>
      <c r="D14" s="38"/>
      <c r="E14" s="38"/>
      <c r="F14" s="38"/>
    </row>
  </sheetData>
  <mergeCells count="3">
    <mergeCell ref="A3:F3"/>
    <mergeCell ref="A4:F4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745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746</v>
      </c>
    </row>
    <row r="3" customFormat="false" ht="60" hidden="false" customHeight="true" outlineLevel="0" collapsed="false">
      <c r="A3" s="38" t="s">
        <v>747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748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39"/>
      <c r="B7" s="4" t="s">
        <v>749</v>
      </c>
      <c r="C7" s="12" t="n">
        <f aca="false">AVERAGE(Dados!$B$18,Dados!$C$18)</f>
        <v>1545000</v>
      </c>
      <c r="D7" s="43" t="s">
        <v>668</v>
      </c>
      <c r="E7" s="44" t="s">
        <v>750</v>
      </c>
      <c r="F7" s="41" t="s">
        <v>751</v>
      </c>
    </row>
    <row r="8" customFormat="false" ht="42" hidden="false" customHeight="true" outlineLevel="0" collapsed="false">
      <c r="A8" s="45" t="s">
        <v>674</v>
      </c>
      <c r="B8" s="46" t="s">
        <v>474</v>
      </c>
      <c r="C8" s="47" t="n">
        <f aca="false">DSP!$B$6/C7</f>
        <v>0.188284789644013</v>
      </c>
      <c r="D8" s="43" t="s">
        <v>676</v>
      </c>
      <c r="E8" s="44" t="s">
        <v>752</v>
      </c>
      <c r="F8" s="41" t="s">
        <v>753</v>
      </c>
    </row>
    <row r="9" customFormat="false" ht="42" hidden="false" customHeight="true" outlineLevel="0" collapsed="false">
      <c r="A9" s="39"/>
      <c r="B9" s="4" t="s">
        <v>754</v>
      </c>
      <c r="C9" s="12" t="n">
        <f aca="false">AVERAGE(Dados!$B$25,Dados!$C$25)</f>
        <v>1922500</v>
      </c>
      <c r="D9" s="43" t="s">
        <v>668</v>
      </c>
      <c r="E9" s="44" t="s">
        <v>755</v>
      </c>
      <c r="F9" s="41" t="s">
        <v>756</v>
      </c>
    </row>
    <row r="10" customFormat="false" ht="42" hidden="false" customHeight="true" outlineLevel="0" collapsed="false">
      <c r="A10" s="39"/>
      <c r="B10" s="4" t="s">
        <v>757</v>
      </c>
      <c r="C10" s="12" t="n">
        <f aca="false">-(DSP!$B$13+DSP!$B$14+DSP!$B$15)</f>
        <v>163700</v>
      </c>
      <c r="D10" s="43" t="s">
        <v>668</v>
      </c>
      <c r="E10" s="44" t="s">
        <v>758</v>
      </c>
      <c r="F10" s="41" t="s">
        <v>759</v>
      </c>
    </row>
    <row r="11" customFormat="false" ht="42" hidden="false" customHeight="true" outlineLevel="0" collapsed="false">
      <c r="A11" s="45" t="s">
        <v>679</v>
      </c>
      <c r="B11" s="46" t="s">
        <v>760</v>
      </c>
      <c r="C11" s="47" t="n">
        <f aca="false">C10/C9</f>
        <v>0.085149544863459</v>
      </c>
      <c r="D11" s="43" t="s">
        <v>676</v>
      </c>
      <c r="E11" s="44" t="s">
        <v>761</v>
      </c>
      <c r="F11" s="41" t="s">
        <v>762</v>
      </c>
    </row>
    <row r="12" customFormat="false" ht="42" hidden="false" customHeight="true" outlineLevel="0" collapsed="false">
      <c r="A12" s="45" t="s">
        <v>683</v>
      </c>
      <c r="B12" s="46" t="s">
        <v>480</v>
      </c>
      <c r="C12" s="50" t="n">
        <f aca="false">(C8-C11)*100</f>
        <v>10.3135244780554</v>
      </c>
      <c r="D12" s="43" t="s">
        <v>741</v>
      </c>
      <c r="E12" s="44" t="s">
        <v>763</v>
      </c>
      <c r="F12" s="41" t="s">
        <v>764</v>
      </c>
    </row>
    <row r="13" customFormat="false" ht="42" hidden="false" customHeight="true" outlineLevel="0" collapsed="false">
      <c r="A13" s="45" t="s">
        <v>687</v>
      </c>
      <c r="B13" s="46" t="s">
        <v>765</v>
      </c>
      <c r="C13" s="47" t="n">
        <f aca="false">C10/(C9-AVERAGE(Dados!$B$20,Dados!$C$20))</f>
        <v>0.10578352180937</v>
      </c>
      <c r="D13" s="43" t="s">
        <v>676</v>
      </c>
      <c r="E13" s="44" t="s">
        <v>766</v>
      </c>
      <c r="F13" s="41" t="s">
        <v>767</v>
      </c>
    </row>
    <row r="15" customFormat="false" ht="30" hidden="false" customHeight="true" outlineLevel="0" collapsed="false">
      <c r="A15" s="48" t="s">
        <v>699</v>
      </c>
      <c r="B15" s="38" t="s">
        <v>768</v>
      </c>
      <c r="C15" s="38"/>
      <c r="D15" s="38"/>
      <c r="E15" s="38"/>
      <c r="F15" s="38"/>
    </row>
  </sheetData>
  <mergeCells count="3">
    <mergeCell ref="A3:F3"/>
    <mergeCell ref="A4:F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769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770</v>
      </c>
    </row>
    <row r="3" customFormat="false" ht="60" hidden="false" customHeight="true" outlineLevel="0" collapsed="false">
      <c r="A3" s="38" t="s">
        <v>771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772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39"/>
      <c r="B7" s="4" t="s">
        <v>773</v>
      </c>
      <c r="C7" s="20" t="n">
        <f aca="false">DSP!$B$39</f>
        <v>58500</v>
      </c>
      <c r="D7" s="43" t="s">
        <v>668</v>
      </c>
      <c r="E7" s="44" t="s">
        <v>774</v>
      </c>
      <c r="F7" s="41" t="s">
        <v>775</v>
      </c>
    </row>
    <row r="8" customFormat="false" ht="42" hidden="false" customHeight="true" outlineLevel="0" collapsed="false">
      <c r="A8" s="39"/>
      <c r="B8" s="4" t="s">
        <v>776</v>
      </c>
      <c r="C8" s="12" t="n">
        <f aca="false">AVERAGE(Dados!$B$29,Dados!$C$29)</f>
        <v>292770</v>
      </c>
      <c r="D8" s="43" t="s">
        <v>668</v>
      </c>
      <c r="E8" s="44" t="s">
        <v>777</v>
      </c>
      <c r="F8" s="41" t="s">
        <v>778</v>
      </c>
    </row>
    <row r="9" customFormat="false" ht="42" hidden="false" customHeight="true" outlineLevel="0" collapsed="false">
      <c r="A9" s="45" t="s">
        <v>674</v>
      </c>
      <c r="B9" s="46" t="s">
        <v>779</v>
      </c>
      <c r="C9" s="47" t="n">
        <f aca="false">C7/C8</f>
        <v>0.199815554872425</v>
      </c>
      <c r="D9" s="43" t="s">
        <v>676</v>
      </c>
      <c r="E9" s="44" t="s">
        <v>733</v>
      </c>
      <c r="F9" s="41" t="s">
        <v>780</v>
      </c>
    </row>
    <row r="10" customFormat="false" ht="42" hidden="false" customHeight="true" outlineLevel="0" collapsed="false">
      <c r="A10" s="39"/>
      <c r="B10" s="4" t="s">
        <v>781</v>
      </c>
      <c r="C10" s="20" t="n">
        <f aca="false">Dados!$C$66</f>
        <v>-2200</v>
      </c>
      <c r="D10" s="43" t="s">
        <v>668</v>
      </c>
      <c r="E10" s="44" t="s">
        <v>782</v>
      </c>
      <c r="F10" s="41" t="s">
        <v>783</v>
      </c>
    </row>
    <row r="11" customFormat="false" ht="42" hidden="false" customHeight="true" outlineLevel="0" collapsed="false">
      <c r="A11" s="45" t="s">
        <v>679</v>
      </c>
      <c r="B11" s="46" t="s">
        <v>784</v>
      </c>
      <c r="C11" s="49" t="n">
        <f aca="false">C7-C10</f>
        <v>60700</v>
      </c>
      <c r="D11" s="43" t="s">
        <v>668</v>
      </c>
      <c r="E11" s="44" t="s">
        <v>785</v>
      </c>
      <c r="F11" s="41" t="s">
        <v>786</v>
      </c>
    </row>
    <row r="12" customFormat="false" ht="42" hidden="false" customHeight="true" outlineLevel="0" collapsed="false">
      <c r="A12" s="45" t="s">
        <v>683</v>
      </c>
      <c r="B12" s="46" t="s">
        <v>502</v>
      </c>
      <c r="C12" s="47" t="n">
        <f aca="false">C11/C8</f>
        <v>0.207329985995833</v>
      </c>
      <c r="D12" s="43" t="s">
        <v>676</v>
      </c>
      <c r="E12" s="44" t="s">
        <v>787</v>
      </c>
      <c r="F12" s="41" t="s">
        <v>788</v>
      </c>
    </row>
    <row r="13" customFormat="false" ht="42" hidden="false" customHeight="true" outlineLevel="0" collapsed="false">
      <c r="A13" s="45" t="s">
        <v>687</v>
      </c>
      <c r="B13" s="46" t="s">
        <v>789</v>
      </c>
      <c r="C13" s="47" t="n">
        <f aca="false">C7/Gerencial!$B$12</f>
        <v>0.248091603053435</v>
      </c>
      <c r="D13" s="43" t="s">
        <v>676</v>
      </c>
      <c r="E13" s="44" t="s">
        <v>790</v>
      </c>
      <c r="F13" s="41" t="s">
        <v>791</v>
      </c>
    </row>
    <row r="14" customFormat="false" ht="42" hidden="false" customHeight="true" outlineLevel="0" collapsed="false">
      <c r="A14" s="45" t="s">
        <v>691</v>
      </c>
      <c r="B14" s="46" t="s">
        <v>792</v>
      </c>
      <c r="C14" s="47" t="n">
        <f aca="false">Gerencial!$B$12/AVERAGE(Dados!$B$9,Dados!$C$9)</f>
        <v>0.0923340786366822</v>
      </c>
      <c r="D14" s="43" t="s">
        <v>676</v>
      </c>
      <c r="E14" s="44" t="s">
        <v>793</v>
      </c>
      <c r="F14" s="41" t="s">
        <v>794</v>
      </c>
    </row>
    <row r="15" customFormat="false" ht="42" hidden="false" customHeight="true" outlineLevel="0" collapsed="false">
      <c r="A15" s="45" t="s">
        <v>695</v>
      </c>
      <c r="B15" s="46" t="s">
        <v>795</v>
      </c>
      <c r="C15" s="51" t="n">
        <f aca="false">AVERAGE(Dados!$B$9,Dados!$C$9)/C8</f>
        <v>8.72278580455648</v>
      </c>
      <c r="D15" s="43" t="s">
        <v>796</v>
      </c>
      <c r="E15" s="44" t="s">
        <v>797</v>
      </c>
      <c r="F15" s="41" t="s">
        <v>798</v>
      </c>
    </row>
    <row r="16" customFormat="false" ht="42" hidden="false" customHeight="true" outlineLevel="0" collapsed="false">
      <c r="A16" s="39"/>
      <c r="B16" s="4" t="s">
        <v>799</v>
      </c>
      <c r="C16" s="29" t="n">
        <f aca="false">C13*C14*C15</f>
        <v>0.199815554872425</v>
      </c>
      <c r="D16" s="43" t="s">
        <v>676</v>
      </c>
      <c r="E16" s="44" t="s">
        <v>800</v>
      </c>
      <c r="F16" s="41" t="s">
        <v>801</v>
      </c>
    </row>
    <row r="18" customFormat="false" ht="30" hidden="false" customHeight="true" outlineLevel="0" collapsed="false">
      <c r="A18" s="48" t="s">
        <v>699</v>
      </c>
      <c r="B18" s="38" t="s">
        <v>802</v>
      </c>
      <c r="C18" s="38"/>
      <c r="D18" s="38"/>
      <c r="E18" s="38"/>
      <c r="F18" s="38"/>
    </row>
  </sheetData>
  <mergeCells count="3">
    <mergeCell ref="A3:F3"/>
    <mergeCell ref="A4:F4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803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804</v>
      </c>
    </row>
    <row r="3" customFormat="false" ht="60" hidden="false" customHeight="true" outlineLevel="0" collapsed="false">
      <c r="A3" s="38" t="s">
        <v>805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806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39"/>
      <c r="B7" s="4" t="s">
        <v>807</v>
      </c>
      <c r="C7" s="20" t="n">
        <f aca="false">Gerencial!$B$12</f>
        <v>235800</v>
      </c>
      <c r="D7" s="43" t="s">
        <v>668</v>
      </c>
      <c r="E7" s="44" t="s">
        <v>808</v>
      </c>
      <c r="F7" s="41" t="s">
        <v>809</v>
      </c>
    </row>
    <row r="8" customFormat="false" ht="42" hidden="false" customHeight="true" outlineLevel="0" collapsed="false">
      <c r="A8" s="45" t="s">
        <v>674</v>
      </c>
      <c r="B8" s="46" t="s">
        <v>810</v>
      </c>
      <c r="C8" s="47" t="n">
        <f aca="false">-Gerencial!$B$13/C7</f>
        <v>0.585241730279898</v>
      </c>
      <c r="D8" s="43" t="s">
        <v>676</v>
      </c>
      <c r="E8" s="44" t="s">
        <v>811</v>
      </c>
      <c r="F8" s="41" t="s">
        <v>812</v>
      </c>
    </row>
    <row r="9" customFormat="false" ht="42" hidden="false" customHeight="true" outlineLevel="0" collapsed="false">
      <c r="A9" s="45" t="s">
        <v>679</v>
      </c>
      <c r="B9" s="46" t="s">
        <v>813</v>
      </c>
      <c r="C9" s="47" t="n">
        <f aca="false">-(Gerencial!$B$13+Gerencial!$B$14)/C7</f>
        <v>0.750636132315522</v>
      </c>
      <c r="D9" s="43" t="s">
        <v>676</v>
      </c>
      <c r="E9" s="44" t="s">
        <v>814</v>
      </c>
      <c r="F9" s="41" t="s">
        <v>815</v>
      </c>
    </row>
    <row r="10" customFormat="false" ht="42" hidden="false" customHeight="true" outlineLevel="0" collapsed="false">
      <c r="A10" s="39"/>
      <c r="B10" s="4" t="s">
        <v>816</v>
      </c>
      <c r="C10" s="12" t="n">
        <f aca="false">-(Gerencial!$C$13-Dados!$D$62)</f>
        <v>152000</v>
      </c>
      <c r="D10" s="43" t="s">
        <v>668</v>
      </c>
      <c r="E10" s="44" t="s">
        <v>817</v>
      </c>
      <c r="F10" s="41" t="s">
        <v>818</v>
      </c>
    </row>
    <row r="11" customFormat="false" ht="42" hidden="false" customHeight="true" outlineLevel="0" collapsed="false">
      <c r="A11" s="39"/>
      <c r="B11" s="4" t="s">
        <v>819</v>
      </c>
      <c r="C11" s="12" t="n">
        <f aca="false">Gerencial!$C$12-Dados!$D$64</f>
        <v>254200</v>
      </c>
      <c r="D11" s="43" t="s">
        <v>668</v>
      </c>
      <c r="E11" s="44" t="s">
        <v>820</v>
      </c>
      <c r="F11" s="41" t="s">
        <v>821</v>
      </c>
    </row>
    <row r="12" customFormat="false" ht="42" hidden="false" customHeight="true" outlineLevel="0" collapsed="false">
      <c r="A12" s="45" t="s">
        <v>683</v>
      </c>
      <c r="B12" s="46" t="s">
        <v>822</v>
      </c>
      <c r="C12" s="47" t="n">
        <f aca="false">C10/C11</f>
        <v>0.597954366640441</v>
      </c>
      <c r="D12" s="43" t="s">
        <v>676</v>
      </c>
      <c r="E12" s="44" t="s">
        <v>823</v>
      </c>
      <c r="F12" s="41" t="s">
        <v>824</v>
      </c>
    </row>
    <row r="13" customFormat="false" ht="42" hidden="false" customHeight="true" outlineLevel="0" collapsed="false">
      <c r="A13" s="39"/>
      <c r="B13" s="4" t="s">
        <v>825</v>
      </c>
      <c r="C13" s="29" t="n">
        <f aca="false">-(Gerencial!$B$13-Dados!$C$62)/(Gerencial!$B$12-Dados!$C$64)</f>
        <v>0.574639525021204</v>
      </c>
      <c r="D13" s="43" t="s">
        <v>676</v>
      </c>
      <c r="E13" s="44" t="s">
        <v>826</v>
      </c>
      <c r="F13" s="41" t="s">
        <v>827</v>
      </c>
    </row>
    <row r="14" customFormat="false" ht="42" hidden="false" customHeight="true" outlineLevel="0" collapsed="false">
      <c r="A14" s="45" t="s">
        <v>687</v>
      </c>
      <c r="B14" s="46" t="s">
        <v>828</v>
      </c>
      <c r="C14" s="49" t="n">
        <f aca="false">C10-C13*C11</f>
        <v>5926.63273960984</v>
      </c>
      <c r="D14" s="43" t="s">
        <v>668</v>
      </c>
      <c r="E14" s="44" t="s">
        <v>829</v>
      </c>
      <c r="F14" s="41" t="s">
        <v>830</v>
      </c>
    </row>
    <row r="16" customFormat="false" ht="30" hidden="false" customHeight="true" outlineLevel="0" collapsed="false">
      <c r="A16" s="48" t="s">
        <v>699</v>
      </c>
      <c r="B16" s="38" t="s">
        <v>831</v>
      </c>
      <c r="C16" s="38"/>
      <c r="D16" s="38"/>
      <c r="E16" s="38"/>
      <c r="F16" s="38"/>
    </row>
  </sheetData>
  <mergeCells count="3">
    <mergeCell ref="A3:F3"/>
    <mergeCell ref="A4:F4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832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833</v>
      </c>
    </row>
    <row r="3" customFormat="false" ht="60" hidden="false" customHeight="true" outlineLevel="0" collapsed="false">
      <c r="A3" s="38" t="s">
        <v>834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835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45" t="s">
        <v>674</v>
      </c>
      <c r="B7" s="46" t="s">
        <v>836</v>
      </c>
      <c r="C7" s="47" t="n">
        <f aca="false">Dados!$C$38/BP!$B$13</f>
        <v>0.0189024390243902</v>
      </c>
      <c r="D7" s="43" t="s">
        <v>676</v>
      </c>
      <c r="E7" s="44" t="s">
        <v>837</v>
      </c>
      <c r="F7" s="41" t="s">
        <v>838</v>
      </c>
    </row>
    <row r="8" customFormat="false" ht="42" hidden="false" customHeight="true" outlineLevel="0" collapsed="false">
      <c r="A8" s="45" t="s">
        <v>679</v>
      </c>
      <c r="B8" s="46" t="s">
        <v>839</v>
      </c>
      <c r="C8" s="47" t="n">
        <f aca="false">(Dados!$C$35+Dados!$C$36+Dados!$C$37)/BP!$B$13</f>
        <v>0.0219512195121951</v>
      </c>
      <c r="D8" s="43" t="s">
        <v>676</v>
      </c>
      <c r="E8" s="44" t="s">
        <v>840</v>
      </c>
      <c r="F8" s="41" t="s">
        <v>841</v>
      </c>
    </row>
    <row r="9" customFormat="false" ht="42" hidden="false" customHeight="true" outlineLevel="0" collapsed="false">
      <c r="A9" s="45" t="s">
        <v>683</v>
      </c>
      <c r="B9" s="46" t="s">
        <v>842</v>
      </c>
      <c r="C9" s="47" t="n">
        <f aca="false">-BP!$B$14/Dados!$C$38</f>
        <v>2.64516129032258</v>
      </c>
      <c r="D9" s="43" t="s">
        <v>676</v>
      </c>
      <c r="E9" s="44" t="s">
        <v>843</v>
      </c>
      <c r="F9" s="41" t="s">
        <v>844</v>
      </c>
    </row>
    <row r="10" customFormat="false" ht="42" hidden="false" customHeight="true" outlineLevel="0" collapsed="false">
      <c r="A10" s="45" t="s">
        <v>687</v>
      </c>
      <c r="B10" s="46" t="s">
        <v>845</v>
      </c>
      <c r="C10" s="47" t="n">
        <f aca="false">-DSP!$B$22/AVERAGE(Dados!$B$18,Dados!$C$18)</f>
        <v>0.0297734627831715</v>
      </c>
      <c r="D10" s="43" t="s">
        <v>676</v>
      </c>
      <c r="E10" s="44" t="s">
        <v>846</v>
      </c>
      <c r="F10" s="41" t="s">
        <v>847</v>
      </c>
    </row>
    <row r="11" customFormat="false" ht="42" hidden="false" customHeight="true" outlineLevel="0" collapsed="false">
      <c r="A11" s="45" t="s">
        <v>691</v>
      </c>
      <c r="B11" s="46" t="s">
        <v>848</v>
      </c>
      <c r="C11" s="49" t="n">
        <f aca="false">-(Dados!$B$19+DSP!$B$22-Dados!$C$19)</f>
        <v>32000</v>
      </c>
      <c r="D11" s="43" t="s">
        <v>668</v>
      </c>
      <c r="E11" s="44" t="s">
        <v>849</v>
      </c>
      <c r="F11" s="41" t="s">
        <v>850</v>
      </c>
    </row>
    <row r="12" customFormat="false" ht="42" hidden="false" customHeight="true" outlineLevel="0" collapsed="false">
      <c r="A12" s="45" t="s">
        <v>695</v>
      </c>
      <c r="B12" s="46" t="s">
        <v>851</v>
      </c>
      <c r="C12" s="47" t="n">
        <f aca="false">Dados!$D$44/BP!$C$13</f>
        <v>0.0427807486631016</v>
      </c>
      <c r="D12" s="43" t="s">
        <v>676</v>
      </c>
      <c r="E12" s="44" t="s">
        <v>852</v>
      </c>
      <c r="F12" s="41" t="s">
        <v>853</v>
      </c>
    </row>
    <row r="14" customFormat="false" ht="30" hidden="false" customHeight="true" outlineLevel="0" collapsed="false">
      <c r="A14" s="48" t="s">
        <v>854</v>
      </c>
      <c r="B14" s="38" t="s">
        <v>855</v>
      </c>
      <c r="C14" s="38"/>
      <c r="D14" s="38"/>
      <c r="E14" s="38"/>
      <c r="F14" s="38"/>
    </row>
  </sheetData>
  <mergeCells count="3">
    <mergeCell ref="A3:F3"/>
    <mergeCell ref="A4:F4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856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857</v>
      </c>
    </row>
    <row r="3" customFormat="false" ht="60" hidden="false" customHeight="true" outlineLevel="0" collapsed="false">
      <c r="A3" s="38" t="s">
        <v>858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859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45" t="s">
        <v>674</v>
      </c>
      <c r="B7" s="46" t="s">
        <v>860</v>
      </c>
      <c r="C7" s="52" t="n">
        <f aca="false">RWA!$D$18</f>
        <v>1791608</v>
      </c>
      <c r="D7" s="43" t="s">
        <v>668</v>
      </c>
      <c r="E7" s="44" t="s">
        <v>861</v>
      </c>
      <c r="F7" s="41" t="s">
        <v>862</v>
      </c>
    </row>
    <row r="8" customFormat="false" ht="42" hidden="false" customHeight="true" outlineLevel="0" collapsed="false">
      <c r="A8" s="39"/>
      <c r="B8" s="4" t="s">
        <v>863</v>
      </c>
      <c r="C8" s="12" t="n">
        <f aca="false">AVERAGE(Dados!$B$76,Dados!$B$77,Dados!$C$75)</f>
        <v>195566.666666667</v>
      </c>
      <c r="D8" s="43" t="s">
        <v>668</v>
      </c>
      <c r="E8" s="44" t="s">
        <v>864</v>
      </c>
      <c r="F8" s="41" t="s">
        <v>865</v>
      </c>
    </row>
    <row r="9" customFormat="false" ht="42" hidden="false" customHeight="true" outlineLevel="0" collapsed="false">
      <c r="A9" s="45" t="s">
        <v>679</v>
      </c>
      <c r="B9" s="46" t="s">
        <v>866</v>
      </c>
      <c r="C9" s="49" t="n">
        <f aca="false">Dados!$B$78*C8/Dados!$B$79</f>
        <v>366687.5</v>
      </c>
      <c r="D9" s="43" t="s">
        <v>668</v>
      </c>
      <c r="E9" s="44" t="s">
        <v>867</v>
      </c>
      <c r="F9" s="41" t="s">
        <v>868</v>
      </c>
    </row>
    <row r="10" customFormat="false" ht="42" hidden="false" customHeight="true" outlineLevel="0" collapsed="false">
      <c r="A10" s="39"/>
      <c r="B10" s="4" t="s">
        <v>869</v>
      </c>
      <c r="C10" s="12" t="n">
        <f aca="false">C7+C9+Dados!$C$73</f>
        <v>2161295.5</v>
      </c>
      <c r="D10" s="43" t="s">
        <v>668</v>
      </c>
      <c r="E10" s="44" t="s">
        <v>870</v>
      </c>
      <c r="F10" s="41" t="s">
        <v>871</v>
      </c>
    </row>
    <row r="11" customFormat="false" ht="42" hidden="false" customHeight="true" outlineLevel="0" collapsed="false">
      <c r="A11" s="39"/>
      <c r="B11" s="4" t="s">
        <v>872</v>
      </c>
      <c r="C11" s="20" t="n">
        <f aca="false">RWA!$D$28</f>
        <v>298540</v>
      </c>
      <c r="D11" s="43" t="s">
        <v>668</v>
      </c>
      <c r="E11" s="44" t="s">
        <v>873</v>
      </c>
      <c r="F11" s="41" t="s">
        <v>874</v>
      </c>
    </row>
    <row r="12" customFormat="false" ht="42" hidden="false" customHeight="true" outlineLevel="0" collapsed="false">
      <c r="A12" s="45" t="s">
        <v>683</v>
      </c>
      <c r="B12" s="46" t="s">
        <v>875</v>
      </c>
      <c r="C12" s="47" t="n">
        <f aca="false">C11/C10</f>
        <v>0.138130116867407</v>
      </c>
      <c r="D12" s="43" t="s">
        <v>676</v>
      </c>
      <c r="E12" s="44" t="s">
        <v>876</v>
      </c>
      <c r="F12" s="41" t="s">
        <v>877</v>
      </c>
    </row>
    <row r="13" customFormat="false" ht="42" hidden="false" customHeight="true" outlineLevel="0" collapsed="false">
      <c r="A13" s="45" t="s">
        <v>687</v>
      </c>
      <c r="B13" s="46" t="s">
        <v>878</v>
      </c>
      <c r="C13" s="50" t="n">
        <f aca="false">(C12-Dados!$B$80)*100</f>
        <v>3.31301168674066</v>
      </c>
      <c r="D13" s="43" t="s">
        <v>741</v>
      </c>
      <c r="E13" s="44" t="s">
        <v>879</v>
      </c>
      <c r="F13" s="41" t="s">
        <v>880</v>
      </c>
    </row>
    <row r="14" customFormat="false" ht="42" hidden="false" customHeight="true" outlineLevel="0" collapsed="false">
      <c r="A14" s="45" t="s">
        <v>691</v>
      </c>
      <c r="B14" s="46" t="s">
        <v>881</v>
      </c>
      <c r="C14" s="47" t="n">
        <f aca="false">RWA!$F$26/RWA!$F$22</f>
        <v>0.137862823095782</v>
      </c>
      <c r="D14" s="43" t="s">
        <v>676</v>
      </c>
      <c r="E14" s="44" t="s">
        <v>882</v>
      </c>
      <c r="F14" s="41" t="s">
        <v>883</v>
      </c>
    </row>
    <row r="15" customFormat="false" ht="42" hidden="false" customHeight="true" outlineLevel="0" collapsed="false">
      <c r="A15" s="45" t="s">
        <v>695</v>
      </c>
      <c r="B15" s="46" t="s">
        <v>884</v>
      </c>
      <c r="C15" s="49" t="n">
        <f aca="false">200000*Dados!$B$92*Dados!$B$80</f>
        <v>17850</v>
      </c>
      <c r="D15" s="43" t="s">
        <v>668</v>
      </c>
      <c r="E15" s="44" t="s">
        <v>885</v>
      </c>
      <c r="F15" s="41" t="s">
        <v>886</v>
      </c>
    </row>
    <row r="16" customFormat="false" ht="42" hidden="false" customHeight="true" outlineLevel="0" collapsed="false">
      <c r="A16" s="39"/>
      <c r="B16" s="4" t="s">
        <v>887</v>
      </c>
      <c r="C16" s="12" t="n">
        <f aca="false">RWA!$F$22+200000*Dados!$B$92-200000*Dados!$B$89</f>
        <v>2604053.5</v>
      </c>
      <c r="D16" s="43" t="s">
        <v>668</v>
      </c>
      <c r="E16" s="44" t="s">
        <v>888</v>
      </c>
      <c r="F16" s="41" t="s">
        <v>889</v>
      </c>
    </row>
    <row r="17" customFormat="false" ht="42" hidden="false" customHeight="true" outlineLevel="0" collapsed="false">
      <c r="A17" s="45" t="s">
        <v>890</v>
      </c>
      <c r="B17" s="46" t="s">
        <v>891</v>
      </c>
      <c r="C17" s="47" t="n">
        <f aca="false">RWA!$F$28/C16</f>
        <v>0.136740662202217</v>
      </c>
      <c r="D17" s="43" t="s">
        <v>676</v>
      </c>
      <c r="E17" s="44" t="s">
        <v>892</v>
      </c>
      <c r="F17" s="41" t="s">
        <v>893</v>
      </c>
    </row>
    <row r="19" customFormat="false" ht="45" hidden="false" customHeight="true" outlineLevel="0" collapsed="false">
      <c r="A19" s="48" t="s">
        <v>699</v>
      </c>
      <c r="B19" s="38" t="s">
        <v>894</v>
      </c>
      <c r="C19" s="38"/>
      <c r="D19" s="38"/>
      <c r="E19" s="38"/>
      <c r="F19" s="38"/>
    </row>
  </sheetData>
  <mergeCells count="3">
    <mergeCell ref="A3:F3"/>
    <mergeCell ref="A4:F4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895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896</v>
      </c>
    </row>
    <row r="3" customFormat="false" ht="60" hidden="false" customHeight="true" outlineLevel="0" collapsed="false">
      <c r="A3" s="38" t="s">
        <v>897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898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45" t="s">
        <v>674</v>
      </c>
      <c r="B7" s="46" t="s">
        <v>899</v>
      </c>
      <c r="C7" s="49" t="n">
        <f aca="false">BP!$B$6+BP!$B$9+BP!$B$7</f>
        <v>863540</v>
      </c>
      <c r="D7" s="43" t="s">
        <v>668</v>
      </c>
      <c r="E7" s="44" t="s">
        <v>900</v>
      </c>
      <c r="F7" s="41" t="s">
        <v>901</v>
      </c>
    </row>
    <row r="8" customFormat="false" ht="42" hidden="false" customHeight="true" outlineLevel="0" collapsed="false">
      <c r="A8" s="45" t="s">
        <v>679</v>
      </c>
      <c r="B8" s="46" t="s">
        <v>902</v>
      </c>
      <c r="C8" s="52" t="n">
        <f aca="false">Indicadores!$C$80</f>
        <v>296100</v>
      </c>
      <c r="D8" s="43" t="s">
        <v>668</v>
      </c>
      <c r="E8" s="44" t="s">
        <v>903</v>
      </c>
      <c r="F8" s="41" t="s">
        <v>904</v>
      </c>
    </row>
    <row r="9" customFormat="false" ht="42" hidden="false" customHeight="true" outlineLevel="0" collapsed="false">
      <c r="A9" s="39"/>
      <c r="B9" s="4" t="s">
        <v>905</v>
      </c>
      <c r="C9" s="20" t="n">
        <f aca="false">Indicadores!$C$81</f>
        <v>92500</v>
      </c>
      <c r="D9" s="43" t="s">
        <v>668</v>
      </c>
      <c r="E9" s="44" t="s">
        <v>906</v>
      </c>
      <c r="F9" s="41" t="s">
        <v>907</v>
      </c>
    </row>
    <row r="10" customFormat="false" ht="42" hidden="false" customHeight="true" outlineLevel="0" collapsed="false">
      <c r="A10" s="45" t="s">
        <v>683</v>
      </c>
      <c r="B10" s="46" t="s">
        <v>908</v>
      </c>
      <c r="C10" s="47" t="n">
        <f aca="false">C7/(C8-C9)</f>
        <v>4.24135559921415</v>
      </c>
      <c r="D10" s="43" t="s">
        <v>676</v>
      </c>
      <c r="E10" s="44" t="s">
        <v>909</v>
      </c>
      <c r="F10" s="41" t="s">
        <v>910</v>
      </c>
    </row>
    <row r="11" customFormat="false" ht="42" hidden="false" customHeight="true" outlineLevel="0" collapsed="false">
      <c r="A11" s="45" t="s">
        <v>687</v>
      </c>
      <c r="B11" s="46" t="s">
        <v>911</v>
      </c>
      <c r="C11" s="51" t="n">
        <f aca="false">Dados!$C$15/(Dados!$B$83*BP!$B$28)</f>
        <v>1.59506044905009</v>
      </c>
      <c r="D11" s="43" t="s">
        <v>796</v>
      </c>
      <c r="E11" s="44" t="s">
        <v>912</v>
      </c>
      <c r="F11" s="41" t="s">
        <v>913</v>
      </c>
    </row>
    <row r="12" customFormat="false" ht="42" hidden="false" customHeight="true" outlineLevel="0" collapsed="false">
      <c r="A12" s="45" t="s">
        <v>691</v>
      </c>
      <c r="B12" s="46" t="s">
        <v>914</v>
      </c>
      <c r="C12" s="47" t="n">
        <f aca="false">BP!$B$13/Dados!$C$25</f>
        <v>0.8</v>
      </c>
      <c r="D12" s="43" t="s">
        <v>676</v>
      </c>
      <c r="E12" s="44" t="s">
        <v>915</v>
      </c>
      <c r="F12" s="41" t="s">
        <v>916</v>
      </c>
    </row>
    <row r="13" customFormat="false" ht="42" hidden="false" customHeight="true" outlineLevel="0" collapsed="false">
      <c r="A13" s="45" t="s">
        <v>695</v>
      </c>
      <c r="B13" s="46" t="s">
        <v>917</v>
      </c>
      <c r="C13" s="51" t="n">
        <f aca="false">(BP!$B$6+BP!$B$7)/BP!$B$25</f>
        <v>1.85523076923077</v>
      </c>
      <c r="D13" s="43" t="s">
        <v>796</v>
      </c>
      <c r="E13" s="44" t="s">
        <v>918</v>
      </c>
      <c r="F13" s="41" t="s">
        <v>919</v>
      </c>
    </row>
    <row r="15" customFormat="false" ht="30" hidden="false" customHeight="true" outlineLevel="0" collapsed="false">
      <c r="A15" s="48" t="s">
        <v>699</v>
      </c>
      <c r="B15" s="38" t="s">
        <v>920</v>
      </c>
      <c r="C15" s="38"/>
      <c r="D15" s="38"/>
      <c r="E15" s="38"/>
      <c r="F15" s="38"/>
    </row>
  </sheetData>
  <mergeCells count="3">
    <mergeCell ref="A3:F3"/>
    <mergeCell ref="A4:F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921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922</v>
      </c>
    </row>
    <row r="3" customFormat="false" ht="60" hidden="false" customHeight="true" outlineLevel="0" collapsed="false">
      <c r="A3" s="38" t="s">
        <v>923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924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39"/>
      <c r="B7" s="4" t="s">
        <v>925</v>
      </c>
      <c r="C7" s="12" t="n">
        <f aca="false">AVERAGE(Dados!$C$21,Dados!$D$21)</f>
        <v>222500</v>
      </c>
      <c r="D7" s="43" t="s">
        <v>668</v>
      </c>
      <c r="E7" s="44" t="s">
        <v>926</v>
      </c>
      <c r="F7" s="41"/>
    </row>
    <row r="8" customFormat="false" ht="42" hidden="false" customHeight="true" outlineLevel="0" collapsed="false">
      <c r="A8" s="45" t="s">
        <v>674</v>
      </c>
      <c r="B8" s="46" t="s">
        <v>927</v>
      </c>
      <c r="C8" s="49" t="n">
        <f aca="false">C7*Dados!$D$105+DSP!$C$13</f>
        <v>8200</v>
      </c>
      <c r="D8" s="43" t="s">
        <v>668</v>
      </c>
      <c r="E8" s="44" t="s">
        <v>928</v>
      </c>
      <c r="F8" s="41" t="s">
        <v>929</v>
      </c>
    </row>
    <row r="9" customFormat="false" ht="42" hidden="false" customHeight="true" outlineLevel="0" collapsed="false">
      <c r="A9" s="39"/>
      <c r="B9" s="4" t="s">
        <v>930</v>
      </c>
      <c r="C9" s="12" t="n">
        <f aca="false">AVERAGE(Dados!$C$22,Dados!$D$22)</f>
        <v>1425000</v>
      </c>
      <c r="D9" s="43" t="s">
        <v>668</v>
      </c>
      <c r="E9" s="44" t="s">
        <v>931</v>
      </c>
      <c r="F9" s="41"/>
    </row>
    <row r="10" customFormat="false" ht="42" hidden="false" customHeight="true" outlineLevel="0" collapsed="false">
      <c r="A10" s="45" t="s">
        <v>679</v>
      </c>
      <c r="B10" s="46" t="s">
        <v>932</v>
      </c>
      <c r="C10" s="49" t="n">
        <f aca="false">C9*Dados!$D$106+DSP!$C$14</f>
        <v>-2125.00000000003</v>
      </c>
      <c r="D10" s="43" t="s">
        <v>668</v>
      </c>
      <c r="E10" s="44" t="s">
        <v>933</v>
      </c>
      <c r="F10" s="41" t="s">
        <v>934</v>
      </c>
    </row>
    <row r="11" customFormat="false" ht="42" hidden="false" customHeight="true" outlineLevel="0" collapsed="false">
      <c r="A11" s="45" t="s">
        <v>683</v>
      </c>
      <c r="B11" s="46" t="s">
        <v>462</v>
      </c>
      <c r="C11" s="47" t="n">
        <f aca="false">-DSP!$C$14/C9/Dados!$D$5</f>
        <v>1.01042816832291</v>
      </c>
      <c r="D11" s="43" t="s">
        <v>676</v>
      </c>
      <c r="E11" s="44" t="s">
        <v>935</v>
      </c>
      <c r="F11" s="41" t="s">
        <v>936</v>
      </c>
    </row>
    <row r="12" customFormat="false" ht="42" hidden="false" customHeight="true" outlineLevel="0" collapsed="false">
      <c r="A12" s="45" t="s">
        <v>687</v>
      </c>
      <c r="B12" s="46" t="s">
        <v>937</v>
      </c>
      <c r="C12" s="49" t="n">
        <f aca="false">C9*Dados!$D$5*1.05+DSP!$C$14</f>
        <v>8063.74999999997</v>
      </c>
      <c r="D12" s="43" t="s">
        <v>668</v>
      </c>
      <c r="E12" s="44" t="s">
        <v>938</v>
      </c>
      <c r="F12" s="41" t="s">
        <v>939</v>
      </c>
    </row>
    <row r="13" customFormat="false" ht="42" hidden="false" customHeight="true" outlineLevel="0" collapsed="false">
      <c r="A13" s="45" t="s">
        <v>691</v>
      </c>
      <c r="B13" s="46" t="s">
        <v>940</v>
      </c>
      <c r="C13" s="50" t="n">
        <f aca="false">-C12/AVERAGE(Dados!$C$29,Dados!$D$29)*100</f>
        <v>-2.46364302954385</v>
      </c>
      <c r="D13" s="43" t="s">
        <v>741</v>
      </c>
      <c r="E13" s="44" t="s">
        <v>941</v>
      </c>
      <c r="F13" s="41" t="s">
        <v>942</v>
      </c>
    </row>
    <row r="14" customFormat="false" ht="42" hidden="false" customHeight="true" outlineLevel="0" collapsed="false">
      <c r="A14" s="45" t="s">
        <v>695</v>
      </c>
      <c r="B14" s="46" t="s">
        <v>943</v>
      </c>
      <c r="C14" s="52" t="n">
        <f aca="false">Indicadores!$D$90</f>
        <v>41105</v>
      </c>
      <c r="D14" s="43" t="s">
        <v>668</v>
      </c>
      <c r="E14" s="44" t="s">
        <v>944</v>
      </c>
      <c r="F14" s="41" t="s">
        <v>945</v>
      </c>
    </row>
    <row r="16" customFormat="false" ht="45" hidden="false" customHeight="true" outlineLevel="0" collapsed="false">
      <c r="A16" s="48" t="s">
        <v>946</v>
      </c>
      <c r="B16" s="38" t="s">
        <v>947</v>
      </c>
      <c r="C16" s="38"/>
      <c r="D16" s="38"/>
      <c r="E16" s="38"/>
      <c r="F16" s="38"/>
    </row>
  </sheetData>
  <mergeCells count="3">
    <mergeCell ref="A3:F3"/>
    <mergeCell ref="A4:F4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948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949</v>
      </c>
    </row>
    <row r="3" customFormat="false" ht="60" hidden="false" customHeight="true" outlineLevel="0" collapsed="false">
      <c r="A3" s="38" t="s">
        <v>950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951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39"/>
      <c r="B7" s="4" t="s">
        <v>952</v>
      </c>
      <c r="C7" s="9" t="n">
        <v>500</v>
      </c>
      <c r="D7" s="43" t="s">
        <v>668</v>
      </c>
      <c r="E7" s="44"/>
      <c r="F7" s="41" t="s">
        <v>953</v>
      </c>
    </row>
    <row r="8" customFormat="false" ht="42" hidden="false" customHeight="true" outlineLevel="0" collapsed="false">
      <c r="A8" s="45" t="s">
        <v>674</v>
      </c>
      <c r="B8" s="46" t="s">
        <v>954</v>
      </c>
      <c r="C8" s="49" t="n">
        <f aca="false">C7*3%*45%</f>
        <v>6.75</v>
      </c>
      <c r="D8" s="43" t="s">
        <v>668</v>
      </c>
      <c r="E8" s="44" t="s">
        <v>955</v>
      </c>
      <c r="F8" s="41" t="s">
        <v>956</v>
      </c>
    </row>
    <row r="9" customFormat="false" ht="42" hidden="false" customHeight="true" outlineLevel="0" collapsed="false">
      <c r="A9" s="45" t="s">
        <v>679</v>
      </c>
      <c r="B9" s="46" t="s">
        <v>957</v>
      </c>
      <c r="C9" s="49" t="n">
        <f aca="false">C7*100%*12.5%</f>
        <v>62.5</v>
      </c>
      <c r="D9" s="43" t="s">
        <v>668</v>
      </c>
      <c r="E9" s="44" t="s">
        <v>958</v>
      </c>
      <c r="F9" s="41" t="s">
        <v>959</v>
      </c>
    </row>
    <row r="10" customFormat="false" ht="42" hidden="false" customHeight="true" outlineLevel="0" collapsed="false">
      <c r="A10" s="39"/>
      <c r="B10" s="4" t="s">
        <v>960</v>
      </c>
      <c r="C10" s="12" t="n">
        <f aca="false">C7*21%</f>
        <v>105</v>
      </c>
      <c r="D10" s="43" t="s">
        <v>668</v>
      </c>
      <c r="E10" s="44" t="s">
        <v>961</v>
      </c>
      <c r="F10" s="41"/>
    </row>
    <row r="11" customFormat="false" ht="42" hidden="false" customHeight="true" outlineLevel="0" collapsed="false">
      <c r="A11" s="39"/>
      <c r="B11" s="4" t="s">
        <v>962</v>
      </c>
      <c r="C11" s="12" t="n">
        <f aca="false">-C7*15%</f>
        <v>-75</v>
      </c>
      <c r="D11" s="43" t="s">
        <v>668</v>
      </c>
      <c r="E11" s="44" t="s">
        <v>963</v>
      </c>
      <c r="F11" s="41" t="s">
        <v>964</v>
      </c>
    </row>
    <row r="12" customFormat="false" ht="42" hidden="false" customHeight="true" outlineLevel="0" collapsed="false">
      <c r="A12" s="39"/>
      <c r="B12" s="4" t="s">
        <v>965</v>
      </c>
      <c r="C12" s="12" t="n">
        <f aca="false">-C7*2.5%</f>
        <v>-12.5</v>
      </c>
      <c r="D12" s="43" t="s">
        <v>668</v>
      </c>
      <c r="E12" s="44" t="s">
        <v>966</v>
      </c>
      <c r="F12" s="41"/>
    </row>
    <row r="13" customFormat="false" ht="42" hidden="false" customHeight="true" outlineLevel="0" collapsed="false">
      <c r="A13" s="39"/>
      <c r="B13" s="4" t="s">
        <v>610</v>
      </c>
      <c r="C13" s="12" t="n">
        <f aca="false">C9*15%</f>
        <v>9.375</v>
      </c>
      <c r="D13" s="43" t="s">
        <v>668</v>
      </c>
      <c r="E13" s="44" t="s">
        <v>967</v>
      </c>
      <c r="F13" s="41" t="s">
        <v>968</v>
      </c>
    </row>
    <row r="14" customFormat="false" ht="42" hidden="false" customHeight="true" outlineLevel="0" collapsed="false">
      <c r="A14" s="45" t="s">
        <v>683</v>
      </c>
      <c r="B14" s="46" t="s">
        <v>969</v>
      </c>
      <c r="C14" s="49" t="n">
        <f aca="false">C10+C11+C12-C8+C13</f>
        <v>20.125</v>
      </c>
      <c r="D14" s="43" t="s">
        <v>668</v>
      </c>
      <c r="E14" s="44" t="s">
        <v>970</v>
      </c>
      <c r="F14" s="41" t="s">
        <v>971</v>
      </c>
    </row>
    <row r="15" customFormat="false" ht="42" hidden="false" customHeight="true" outlineLevel="0" collapsed="false">
      <c r="A15" s="45" t="s">
        <v>687</v>
      </c>
      <c r="B15" s="46" t="s">
        <v>614</v>
      </c>
      <c r="C15" s="47" t="n">
        <f aca="false">C14/C9</f>
        <v>0.322</v>
      </c>
      <c r="D15" s="43" t="s">
        <v>676</v>
      </c>
      <c r="E15" s="44" t="s">
        <v>972</v>
      </c>
      <c r="F15" s="41" t="s">
        <v>973</v>
      </c>
    </row>
    <row r="16" customFormat="false" ht="42" hidden="false" customHeight="true" outlineLevel="0" collapsed="false">
      <c r="A16" s="45" t="s">
        <v>691</v>
      </c>
      <c r="B16" s="46" t="s">
        <v>974</v>
      </c>
      <c r="C16" s="47" t="n">
        <f aca="false">(15%*C9-C11-C12+C8-C13)/C7</f>
        <v>0.1885</v>
      </c>
      <c r="D16" s="43" t="s">
        <v>676</v>
      </c>
      <c r="E16" s="44" t="s">
        <v>975</v>
      </c>
      <c r="F16" s="41" t="s">
        <v>976</v>
      </c>
    </row>
    <row r="18" customFormat="false" ht="30" hidden="false" customHeight="true" outlineLevel="0" collapsed="false">
      <c r="A18" s="48" t="s">
        <v>699</v>
      </c>
      <c r="B18" s="38" t="s">
        <v>977</v>
      </c>
      <c r="C18" s="38"/>
      <c r="D18" s="38"/>
      <c r="E18" s="38"/>
      <c r="F18" s="38"/>
    </row>
  </sheetData>
  <mergeCells count="3">
    <mergeCell ref="A3:F3"/>
    <mergeCell ref="A4:F4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978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979</v>
      </c>
    </row>
    <row r="3" customFormat="false" ht="60" hidden="false" customHeight="true" outlineLevel="0" collapsed="false">
      <c r="A3" s="38" t="s">
        <v>980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981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45" t="s">
        <v>674</v>
      </c>
      <c r="B7" s="46" t="s">
        <v>982</v>
      </c>
      <c r="C7" s="47" t="n">
        <f aca="false">BP!$C$25/Dados!$D$25</f>
        <v>0.177105831533477</v>
      </c>
      <c r="D7" s="43" t="s">
        <v>676</v>
      </c>
      <c r="E7" s="44" t="s">
        <v>983</v>
      </c>
      <c r="F7" s="41" t="s">
        <v>984</v>
      </c>
    </row>
    <row r="8" customFormat="false" ht="42" hidden="false" customHeight="true" outlineLevel="0" collapsed="false">
      <c r="A8" s="45" t="s">
        <v>679</v>
      </c>
      <c r="B8" s="46" t="s">
        <v>985</v>
      </c>
      <c r="C8" s="47" t="n">
        <f aca="false">BP!$C$27/Dados!$D$25</f>
        <v>0.65658747300216</v>
      </c>
      <c r="D8" s="43" t="s">
        <v>676</v>
      </c>
      <c r="E8" s="44" t="s">
        <v>986</v>
      </c>
      <c r="F8" s="41"/>
    </row>
    <row r="9" customFormat="false" ht="42" hidden="false" customHeight="true" outlineLevel="0" collapsed="false">
      <c r="A9" s="45" t="s">
        <v>683</v>
      </c>
      <c r="B9" s="46" t="s">
        <v>987</v>
      </c>
      <c r="C9" s="47" t="n">
        <f aca="false">-DSP!$C$13/AVERAGE(Dados!$C$21,Dados!$D$21)</f>
        <v>0.0831460674157303</v>
      </c>
      <c r="D9" s="43" t="s">
        <v>676</v>
      </c>
      <c r="E9" s="44" t="s">
        <v>988</v>
      </c>
      <c r="F9" s="41" t="s">
        <v>989</v>
      </c>
    </row>
    <row r="10" customFormat="false" ht="42" hidden="false" customHeight="true" outlineLevel="0" collapsed="false">
      <c r="A10" s="39"/>
      <c r="B10" s="4" t="s">
        <v>990</v>
      </c>
      <c r="C10" s="29" t="n">
        <f aca="false">-DSP!$C$15/AVERAGE(Dados!$C$24,Dados!$D$24)</f>
        <v>0.131851851851852</v>
      </c>
      <c r="D10" s="43" t="s">
        <v>676</v>
      </c>
      <c r="E10" s="44" t="s">
        <v>991</v>
      </c>
      <c r="F10" s="41"/>
    </row>
    <row r="11" customFormat="false" ht="42" hidden="false" customHeight="true" outlineLevel="0" collapsed="false">
      <c r="A11" s="45" t="s">
        <v>687</v>
      </c>
      <c r="B11" s="46" t="s">
        <v>992</v>
      </c>
      <c r="C11" s="47" t="n">
        <f aca="false">C10/Dados!$D$5</f>
        <v>0.922040922040922</v>
      </c>
      <c r="D11" s="43" t="s">
        <v>676</v>
      </c>
      <c r="E11" s="44" t="s">
        <v>993</v>
      </c>
      <c r="F11" s="41" t="s">
        <v>994</v>
      </c>
    </row>
    <row r="12" customFormat="false" ht="42" hidden="false" customHeight="true" outlineLevel="0" collapsed="false">
      <c r="A12" s="45" t="s">
        <v>691</v>
      </c>
      <c r="B12" s="46" t="s">
        <v>995</v>
      </c>
      <c r="C12" s="49" t="n">
        <f aca="false">50000*Dados!$D$5*1.01</f>
        <v>7221.5</v>
      </c>
      <c r="D12" s="43" t="s">
        <v>668</v>
      </c>
      <c r="E12" s="44" t="s">
        <v>996</v>
      </c>
      <c r="F12" s="41" t="s">
        <v>997</v>
      </c>
    </row>
    <row r="14" customFormat="false" ht="30" hidden="false" customHeight="true" outlineLevel="0" collapsed="false">
      <c r="A14" s="48" t="s">
        <v>699</v>
      </c>
      <c r="B14" s="38" t="s">
        <v>998</v>
      </c>
      <c r="C14" s="38"/>
      <c r="D14" s="38"/>
      <c r="E14" s="38"/>
      <c r="F14" s="38"/>
    </row>
  </sheetData>
  <mergeCells count="3">
    <mergeCell ref="A3:F3"/>
    <mergeCell ref="A4:F4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999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1000</v>
      </c>
    </row>
    <row r="3" customFormat="false" ht="60" hidden="false" customHeight="true" outlineLevel="0" collapsed="false">
      <c r="A3" s="38" t="s">
        <v>1001</v>
      </c>
      <c r="B3" s="38"/>
      <c r="C3" s="38"/>
      <c r="D3" s="38"/>
      <c r="E3" s="38"/>
      <c r="F3" s="38"/>
    </row>
    <row r="4" customFormat="false" ht="31.5" hidden="false" customHeight="true" outlineLevel="0" collapsed="false">
      <c r="A4" s="42" t="s">
        <v>1002</v>
      </c>
      <c r="B4" s="42"/>
      <c r="C4" s="42"/>
      <c r="D4" s="42"/>
      <c r="E4" s="42"/>
      <c r="F4" s="42"/>
    </row>
    <row r="6" customFormat="false" ht="15" hidden="false" customHeight="false" outlineLevel="0" collapsed="false">
      <c r="A6" s="6" t="s">
        <v>219</v>
      </c>
      <c r="B6" s="6" t="s">
        <v>663</v>
      </c>
      <c r="C6" s="6" t="s">
        <v>664</v>
      </c>
      <c r="D6" s="6" t="s">
        <v>5</v>
      </c>
      <c r="E6" s="6" t="s">
        <v>665</v>
      </c>
      <c r="F6" s="6" t="s">
        <v>666</v>
      </c>
    </row>
    <row r="7" customFormat="false" ht="42" hidden="false" customHeight="true" outlineLevel="0" collapsed="false">
      <c r="A7" s="45" t="s">
        <v>674</v>
      </c>
      <c r="B7" s="46" t="s">
        <v>1003</v>
      </c>
      <c r="C7" s="52" t="n">
        <f aca="false">DMPL!$B$16</f>
        <v>159870</v>
      </c>
      <c r="D7" s="43" t="s">
        <v>668</v>
      </c>
      <c r="E7" s="44" t="s">
        <v>1004</v>
      </c>
      <c r="F7" s="41" t="s">
        <v>1005</v>
      </c>
    </row>
    <row r="8" customFormat="false" ht="42" hidden="false" customHeight="true" outlineLevel="0" collapsed="false">
      <c r="A8" s="45" t="s">
        <v>679</v>
      </c>
      <c r="B8" s="46" t="s">
        <v>1006</v>
      </c>
      <c r="C8" s="52" t="n">
        <f aca="false">DMPL!$F$16</f>
        <v>349080</v>
      </c>
      <c r="D8" s="43" t="s">
        <v>668</v>
      </c>
      <c r="E8" s="44" t="s">
        <v>1007</v>
      </c>
      <c r="F8" s="41" t="s">
        <v>1008</v>
      </c>
    </row>
    <row r="9" customFormat="false" ht="42" hidden="false" customHeight="true" outlineLevel="0" collapsed="false">
      <c r="A9" s="39"/>
      <c r="B9" s="4" t="s">
        <v>1009</v>
      </c>
      <c r="C9" s="12" t="n">
        <f aca="false">AVERAGE(Dados!$C$30,Dados!$D$30)</f>
        <v>144935</v>
      </c>
      <c r="D9" s="43" t="s">
        <v>668</v>
      </c>
      <c r="E9" s="44" t="s">
        <v>1010</v>
      </c>
      <c r="F9" s="41"/>
    </row>
    <row r="10" customFormat="false" ht="42" hidden="false" customHeight="true" outlineLevel="0" collapsed="false">
      <c r="A10" s="45" t="s">
        <v>683</v>
      </c>
      <c r="B10" s="46" t="s">
        <v>1011</v>
      </c>
      <c r="C10" s="47" t="n">
        <f aca="false">-DSP!$C$40/(C9*Dados!$D$5)</f>
        <v>0.607940719024998</v>
      </c>
      <c r="D10" s="43" t="s">
        <v>676</v>
      </c>
      <c r="E10" s="44" t="s">
        <v>1012</v>
      </c>
      <c r="F10" s="41" t="s">
        <v>1013</v>
      </c>
    </row>
    <row r="11" customFormat="false" ht="42" hidden="false" customHeight="true" outlineLevel="0" collapsed="false">
      <c r="A11" s="45" t="s">
        <v>687</v>
      </c>
      <c r="B11" s="46" t="s">
        <v>434</v>
      </c>
      <c r="C11" s="53" t="n">
        <f aca="false">BP!$C$39*1000/Dados!$D$58</f>
        <v>1508.20754716981</v>
      </c>
      <c r="D11" s="43" t="s">
        <v>1014</v>
      </c>
      <c r="E11" s="44" t="s">
        <v>1015</v>
      </c>
      <c r="F11" s="41" t="s">
        <v>1016</v>
      </c>
    </row>
    <row r="12" customFormat="false" ht="42" hidden="false" customHeight="true" outlineLevel="0" collapsed="false">
      <c r="A12" s="45" t="s">
        <v>691</v>
      </c>
      <c r="B12" s="46" t="s">
        <v>431</v>
      </c>
      <c r="C12" s="47" t="n">
        <f aca="false">BP!$C$39/BP!$C$43</f>
        <v>0.457975249226538</v>
      </c>
      <c r="D12" s="43" t="s">
        <v>676</v>
      </c>
      <c r="E12" s="44" t="s">
        <v>1017</v>
      </c>
      <c r="F12" s="41" t="s">
        <v>1018</v>
      </c>
    </row>
    <row r="13" customFormat="false" ht="42" hidden="false" customHeight="true" outlineLevel="0" collapsed="false">
      <c r="A13" s="45" t="s">
        <v>695</v>
      </c>
      <c r="B13" s="46" t="s">
        <v>1019</v>
      </c>
      <c r="C13" s="50" t="n">
        <f aca="false">(Dados!$D$29/Dados!$C$29-RWA!$F$22/RWA!$D$22)*100</f>
        <v>-0.220677862885332</v>
      </c>
      <c r="D13" s="43" t="s">
        <v>741</v>
      </c>
      <c r="E13" s="44" t="s">
        <v>1020</v>
      </c>
      <c r="F13" s="41" t="s">
        <v>1021</v>
      </c>
    </row>
    <row r="15" customFormat="false" ht="30" hidden="false" customHeight="true" outlineLevel="0" collapsed="false">
      <c r="A15" s="48" t="s">
        <v>699</v>
      </c>
      <c r="B15" s="38" t="s">
        <v>1022</v>
      </c>
      <c r="C15" s="38"/>
      <c r="D15" s="38"/>
      <c r="E15" s="38"/>
      <c r="F15" s="38"/>
    </row>
  </sheetData>
  <mergeCells count="3">
    <mergeCell ref="A3:F3"/>
    <mergeCell ref="A4:F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0"/>
  </cols>
  <sheetData>
    <row r="1" customFormat="false" ht="16.15" hidden="false" customHeight="false" outlineLevel="0" collapsed="false">
      <c r="A1" s="1" t="s">
        <v>1023</v>
      </c>
      <c r="B1" s="2"/>
    </row>
    <row r="2" customFormat="false" ht="15" hidden="false" customHeight="false" outlineLevel="0" collapsed="false">
      <c r="A2" s="5" t="s">
        <v>1024</v>
      </c>
    </row>
    <row r="3" customFormat="false" ht="49.5" hidden="false" customHeight="true" outlineLevel="0" collapsed="false">
      <c r="A3" s="38" t="s">
        <v>1025</v>
      </c>
      <c r="B3" s="38"/>
    </row>
    <row r="5" customFormat="false" ht="61.5" hidden="false" customHeight="true" outlineLevel="0" collapsed="false">
      <c r="A5" s="48" t="s">
        <v>1026</v>
      </c>
      <c r="B5" s="4" t="s">
        <v>1027</v>
      </c>
    </row>
    <row r="6" customFormat="false" ht="61.5" hidden="false" customHeight="true" outlineLevel="0" collapsed="false">
      <c r="A6" s="48" t="s">
        <v>1028</v>
      </c>
      <c r="B6" s="4" t="s">
        <v>1029</v>
      </c>
    </row>
    <row r="7" customFormat="false" ht="61.5" hidden="false" customHeight="true" outlineLevel="0" collapsed="false">
      <c r="A7" s="48" t="s">
        <v>1030</v>
      </c>
      <c r="B7" s="4" t="s">
        <v>1031</v>
      </c>
    </row>
    <row r="8" customFormat="false" ht="61.5" hidden="false" customHeight="true" outlineLevel="0" collapsed="false">
      <c r="A8" s="48" t="s">
        <v>1032</v>
      </c>
      <c r="B8" s="4" t="s">
        <v>1033</v>
      </c>
    </row>
    <row r="9" customFormat="false" ht="61.5" hidden="false" customHeight="true" outlineLevel="0" collapsed="false">
      <c r="A9" s="48" t="s">
        <v>1034</v>
      </c>
      <c r="B9" s="4" t="s">
        <v>1035</v>
      </c>
    </row>
    <row r="10" customFormat="false" ht="61.5" hidden="false" customHeight="true" outlineLevel="0" collapsed="false">
      <c r="A10" s="48" t="s">
        <v>1036</v>
      </c>
      <c r="B10" s="4" t="s">
        <v>1037</v>
      </c>
    </row>
    <row r="11" customFormat="false" ht="61.5" hidden="false" customHeight="true" outlineLevel="0" collapsed="false">
      <c r="A11" s="48" t="s">
        <v>1038</v>
      </c>
      <c r="B11" s="4" t="s">
        <v>1039</v>
      </c>
    </row>
    <row r="12" customFormat="false" ht="61.5" hidden="false" customHeight="true" outlineLevel="0" collapsed="false">
      <c r="A12" s="48" t="s">
        <v>1040</v>
      </c>
      <c r="B12" s="4" t="s">
        <v>1041</v>
      </c>
    </row>
    <row r="13" customFormat="false" ht="61.5" hidden="false" customHeight="true" outlineLevel="0" collapsed="false">
      <c r="A13" s="48" t="s">
        <v>1042</v>
      </c>
      <c r="B13" s="4" t="s">
        <v>1043</v>
      </c>
    </row>
    <row r="14" customFormat="false" ht="61.5" hidden="false" customHeight="true" outlineLevel="0" collapsed="false">
      <c r="A14" s="48" t="s">
        <v>1044</v>
      </c>
      <c r="B14" s="4" t="s">
        <v>1045</v>
      </c>
    </row>
    <row r="15" customFormat="false" ht="61.5" hidden="false" customHeight="true" outlineLevel="0" collapsed="false">
      <c r="A15" s="48" t="s">
        <v>1046</v>
      </c>
      <c r="B15" s="4" t="s">
        <v>1047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80"/>
    <col collapsed="false" customWidth="true" hidden="false" outlineLevel="0" max="4" min="4" style="0" width="16"/>
    <col collapsed="false" customWidth="true" hidden="false" outlineLevel="0" max="5" min="5" style="0" width="9"/>
  </cols>
  <sheetData>
    <row r="1" customFormat="false" ht="16.15" hidden="false" customHeight="false" outlineLevel="0" collapsed="false">
      <c r="A1" s="1" t="s">
        <v>1048</v>
      </c>
      <c r="B1" s="2"/>
      <c r="C1" s="2"/>
      <c r="D1" s="2"/>
      <c r="E1" s="2"/>
    </row>
    <row r="2" customFormat="false" ht="15" hidden="false" customHeight="false" outlineLevel="0" collapsed="false">
      <c r="A2" s="5" t="s">
        <v>1049</v>
      </c>
    </row>
    <row r="4" customFormat="false" ht="15" hidden="false" customHeight="false" outlineLevel="0" collapsed="false">
      <c r="A4" s="6" t="s">
        <v>1050</v>
      </c>
      <c r="B4" s="6" t="s">
        <v>219</v>
      </c>
      <c r="C4" s="6" t="s">
        <v>1051</v>
      </c>
      <c r="D4" s="6" t="s">
        <v>946</v>
      </c>
      <c r="E4" s="6" t="s">
        <v>5</v>
      </c>
    </row>
    <row r="5" customFormat="false" ht="15" hidden="false" customHeight="false" outlineLevel="0" collapsed="false">
      <c r="A5" s="39" t="s">
        <v>1052</v>
      </c>
      <c r="B5" s="39" t="s">
        <v>674</v>
      </c>
      <c r="C5" s="4" t="s">
        <v>1053</v>
      </c>
      <c r="D5" s="54" t="n">
        <f aca="false">Ex02!$C$9</f>
        <v>0.489413219308639</v>
      </c>
      <c r="E5" s="55" t="s">
        <v>676</v>
      </c>
    </row>
    <row r="6" customFormat="false" ht="15" hidden="false" customHeight="false" outlineLevel="0" collapsed="false">
      <c r="A6" s="39" t="s">
        <v>1052</v>
      </c>
      <c r="B6" s="39" t="s">
        <v>679</v>
      </c>
      <c r="C6" s="4" t="s">
        <v>1054</v>
      </c>
      <c r="D6" s="54" t="n">
        <f aca="false">Ex02!$C$10</f>
        <v>0.492534218166736</v>
      </c>
      <c r="E6" s="55" t="s">
        <v>676</v>
      </c>
    </row>
    <row r="7" customFormat="false" ht="15" hidden="false" customHeight="false" outlineLevel="0" collapsed="false">
      <c r="A7" s="39" t="s">
        <v>1052</v>
      </c>
      <c r="B7" s="39" t="s">
        <v>683</v>
      </c>
      <c r="C7" s="4" t="s">
        <v>1055</v>
      </c>
      <c r="D7" s="54" t="n">
        <f aca="false">Ex02!$C$11</f>
        <v>0.143512147015315</v>
      </c>
      <c r="E7" s="55" t="s">
        <v>676</v>
      </c>
    </row>
    <row r="8" customFormat="false" ht="15" hidden="false" customHeight="false" outlineLevel="0" collapsed="false">
      <c r="A8" s="39" t="s">
        <v>1052</v>
      </c>
      <c r="B8" s="39" t="s">
        <v>687</v>
      </c>
      <c r="C8" s="4" t="s">
        <v>1056</v>
      </c>
      <c r="D8" s="54" t="n">
        <f aca="false">Ex02!$C$12</f>
        <v>0.13285462463708</v>
      </c>
      <c r="E8" s="55" t="s">
        <v>676</v>
      </c>
    </row>
    <row r="9" customFormat="false" ht="15" hidden="false" customHeight="false" outlineLevel="0" collapsed="false">
      <c r="A9" s="39" t="s">
        <v>1052</v>
      </c>
      <c r="B9" s="39" t="s">
        <v>691</v>
      </c>
      <c r="C9" s="4" t="s">
        <v>1057</v>
      </c>
      <c r="D9" s="54" t="n">
        <f aca="false">Ex02!$C$13</f>
        <v>0.113114371630029</v>
      </c>
      <c r="E9" s="55" t="s">
        <v>676</v>
      </c>
    </row>
    <row r="10" customFormat="false" ht="15" hidden="false" customHeight="false" outlineLevel="0" collapsed="false">
      <c r="A10" s="39" t="s">
        <v>1052</v>
      </c>
      <c r="B10" s="39" t="s">
        <v>695</v>
      </c>
      <c r="C10" s="4" t="s">
        <v>1058</v>
      </c>
      <c r="D10" s="54" t="n">
        <f aca="false">Ex02!$C$14</f>
        <v>0.750142575694733</v>
      </c>
      <c r="E10" s="55" t="s">
        <v>676</v>
      </c>
    </row>
    <row r="11" customFormat="false" ht="15" hidden="false" customHeight="false" outlineLevel="0" collapsed="false">
      <c r="A11" s="39" t="s">
        <v>1059</v>
      </c>
      <c r="B11" s="39" t="s">
        <v>674</v>
      </c>
      <c r="C11" s="4" t="s">
        <v>1060</v>
      </c>
      <c r="D11" s="54" t="n">
        <f aca="false">Ex03!$C$7</f>
        <v>0.187349604675146</v>
      </c>
      <c r="E11" s="55" t="s">
        <v>676</v>
      </c>
    </row>
    <row r="12" customFormat="false" ht="15" hidden="false" customHeight="false" outlineLevel="0" collapsed="false">
      <c r="A12" s="39" t="s">
        <v>1059</v>
      </c>
      <c r="B12" s="39" t="s">
        <v>679</v>
      </c>
      <c r="C12" s="4" t="s">
        <v>1061</v>
      </c>
      <c r="D12" s="54" t="n">
        <f aca="false">Ex03!$C$8</f>
        <v>0.484084084084084</v>
      </c>
      <c r="E12" s="55" t="s">
        <v>676</v>
      </c>
    </row>
    <row r="13" customFormat="false" ht="15" hidden="false" customHeight="false" outlineLevel="0" collapsed="false">
      <c r="A13" s="39" t="s">
        <v>1059</v>
      </c>
      <c r="B13" s="39" t="s">
        <v>683</v>
      </c>
      <c r="C13" s="4" t="s">
        <v>1062</v>
      </c>
      <c r="D13" s="54" t="n">
        <f aca="false">Ex03!$C$9</f>
        <v>0.0600414078674949</v>
      </c>
      <c r="E13" s="55" t="s">
        <v>676</v>
      </c>
    </row>
    <row r="14" customFormat="false" ht="15" hidden="false" customHeight="false" outlineLevel="0" collapsed="false">
      <c r="A14" s="39" t="s">
        <v>1059</v>
      </c>
      <c r="B14" s="39" t="s">
        <v>687</v>
      </c>
      <c r="C14" s="4" t="s">
        <v>1063</v>
      </c>
      <c r="D14" s="54" t="n">
        <f aca="false">Ex03!$C$10</f>
        <v>0.391304347826087</v>
      </c>
      <c r="E14" s="55" t="s">
        <v>676</v>
      </c>
    </row>
    <row r="15" customFormat="false" ht="15" hidden="false" customHeight="false" outlineLevel="0" collapsed="false">
      <c r="A15" s="39" t="s">
        <v>1059</v>
      </c>
      <c r="B15" s="39" t="s">
        <v>691</v>
      </c>
      <c r="C15" s="4" t="s">
        <v>1064</v>
      </c>
      <c r="D15" s="54" t="n">
        <f aca="false">Ex03!$C$11</f>
        <v>-0.0820512820512821</v>
      </c>
      <c r="E15" s="55" t="s">
        <v>676</v>
      </c>
    </row>
    <row r="16" customFormat="false" ht="15" hidden="false" customHeight="false" outlineLevel="0" collapsed="false">
      <c r="A16" s="39" t="s">
        <v>1065</v>
      </c>
      <c r="B16" s="39" t="s">
        <v>674</v>
      </c>
      <c r="C16" s="4" t="s">
        <v>726</v>
      </c>
      <c r="D16" s="52" t="n">
        <f aca="false">Ex04!$C$7</f>
        <v>193200</v>
      </c>
      <c r="E16" s="55" t="s">
        <v>668</v>
      </c>
    </row>
    <row r="17" customFormat="false" ht="15" hidden="false" customHeight="false" outlineLevel="0" collapsed="false">
      <c r="A17" s="39" t="s">
        <v>1065</v>
      </c>
      <c r="B17" s="39" t="s">
        <v>679</v>
      </c>
      <c r="C17" s="4" t="s">
        <v>1066</v>
      </c>
      <c r="D17" s="54" t="n">
        <f aca="false">Ex04!$C$9</f>
        <v>0.0756528583231849</v>
      </c>
      <c r="E17" s="55" t="s">
        <v>676</v>
      </c>
    </row>
    <row r="18" customFormat="false" ht="15" hidden="false" customHeight="false" outlineLevel="0" collapsed="false">
      <c r="A18" s="39" t="s">
        <v>1065</v>
      </c>
      <c r="B18" s="39" t="s">
        <v>683</v>
      </c>
      <c r="C18" s="4" t="s">
        <v>737</v>
      </c>
      <c r="D18" s="54" t="n">
        <f aca="false">Ex04!$C$11</f>
        <v>0.0705766400970429</v>
      </c>
      <c r="E18" s="55" t="s">
        <v>676</v>
      </c>
    </row>
    <row r="19" customFormat="false" ht="15" hidden="false" customHeight="false" outlineLevel="0" collapsed="false">
      <c r="A19" s="39" t="s">
        <v>1065</v>
      </c>
      <c r="B19" s="39" t="s">
        <v>687</v>
      </c>
      <c r="C19" s="4" t="s">
        <v>1067</v>
      </c>
      <c r="D19" s="56" t="n">
        <f aca="false">Ex04!$C$12</f>
        <v>-0.507621822614206</v>
      </c>
      <c r="E19" s="55" t="s">
        <v>741</v>
      </c>
    </row>
    <row r="20" customFormat="false" ht="15" hidden="false" customHeight="false" outlineLevel="0" collapsed="false">
      <c r="A20" s="39" t="s">
        <v>1068</v>
      </c>
      <c r="B20" s="39" t="s">
        <v>674</v>
      </c>
      <c r="C20" s="4" t="s">
        <v>1069</v>
      </c>
      <c r="D20" s="54" t="n">
        <f aca="false">Ex05!$C$8</f>
        <v>0.188284789644013</v>
      </c>
      <c r="E20" s="55" t="s">
        <v>676</v>
      </c>
    </row>
    <row r="21" customFormat="false" ht="15" hidden="false" customHeight="false" outlineLevel="0" collapsed="false">
      <c r="A21" s="39" t="s">
        <v>1068</v>
      </c>
      <c r="B21" s="39" t="s">
        <v>679</v>
      </c>
      <c r="C21" s="4" t="s">
        <v>1070</v>
      </c>
      <c r="D21" s="54" t="n">
        <f aca="false">Ex05!$C$11</f>
        <v>0.085149544863459</v>
      </c>
      <c r="E21" s="55" t="s">
        <v>676</v>
      </c>
    </row>
    <row r="22" customFormat="false" ht="15" hidden="false" customHeight="false" outlineLevel="0" collapsed="false">
      <c r="A22" s="39" t="s">
        <v>1068</v>
      </c>
      <c r="B22" s="39" t="s">
        <v>683</v>
      </c>
      <c r="C22" s="4" t="s">
        <v>1071</v>
      </c>
      <c r="D22" s="56" t="n">
        <f aca="false">Ex05!$C$12</f>
        <v>10.3135244780554</v>
      </c>
      <c r="E22" s="55" t="s">
        <v>741</v>
      </c>
    </row>
    <row r="23" customFormat="false" ht="15" hidden="false" customHeight="false" outlineLevel="0" collapsed="false">
      <c r="A23" s="39" t="s">
        <v>1068</v>
      </c>
      <c r="B23" s="39" t="s">
        <v>687</v>
      </c>
      <c r="C23" s="4" t="s">
        <v>1072</v>
      </c>
      <c r="D23" s="54" t="n">
        <f aca="false">Ex05!$C$13</f>
        <v>0.10578352180937</v>
      </c>
      <c r="E23" s="55" t="s">
        <v>676</v>
      </c>
    </row>
    <row r="24" customFormat="false" ht="15" hidden="false" customHeight="false" outlineLevel="0" collapsed="false">
      <c r="A24" s="39" t="s">
        <v>1073</v>
      </c>
      <c r="B24" s="39" t="s">
        <v>674</v>
      </c>
      <c r="C24" s="4" t="s">
        <v>1074</v>
      </c>
      <c r="D24" s="54" t="n">
        <f aca="false">Ex06!$C$9</f>
        <v>0.199815554872425</v>
      </c>
      <c r="E24" s="55" t="s">
        <v>676</v>
      </c>
    </row>
    <row r="25" customFormat="false" ht="15" hidden="false" customHeight="false" outlineLevel="0" collapsed="false">
      <c r="A25" s="39" t="s">
        <v>1073</v>
      </c>
      <c r="B25" s="39" t="s">
        <v>679</v>
      </c>
      <c r="C25" s="4" t="s">
        <v>1075</v>
      </c>
      <c r="D25" s="52" t="n">
        <f aca="false">Ex06!$C$11</f>
        <v>60700</v>
      </c>
      <c r="E25" s="55" t="s">
        <v>668</v>
      </c>
    </row>
    <row r="26" customFormat="false" ht="15" hidden="false" customHeight="false" outlineLevel="0" collapsed="false">
      <c r="A26" s="39" t="s">
        <v>1073</v>
      </c>
      <c r="B26" s="39" t="s">
        <v>683</v>
      </c>
      <c r="C26" s="4" t="s">
        <v>1076</v>
      </c>
      <c r="D26" s="54" t="n">
        <f aca="false">Ex06!$C$12</f>
        <v>0.207329985995833</v>
      </c>
      <c r="E26" s="55" t="s">
        <v>676</v>
      </c>
    </row>
    <row r="27" customFormat="false" ht="15" hidden="false" customHeight="false" outlineLevel="0" collapsed="false">
      <c r="A27" s="39" t="s">
        <v>1073</v>
      </c>
      <c r="B27" s="39" t="s">
        <v>687</v>
      </c>
      <c r="C27" s="4" t="s">
        <v>1077</v>
      </c>
      <c r="D27" s="54" t="n">
        <f aca="false">Ex06!$C$13</f>
        <v>0.248091603053435</v>
      </c>
      <c r="E27" s="55" t="s">
        <v>676</v>
      </c>
    </row>
    <row r="28" customFormat="false" ht="15" hidden="false" customHeight="false" outlineLevel="0" collapsed="false">
      <c r="A28" s="39" t="s">
        <v>1073</v>
      </c>
      <c r="B28" s="39" t="s">
        <v>691</v>
      </c>
      <c r="C28" s="4" t="s">
        <v>1078</v>
      </c>
      <c r="D28" s="54" t="n">
        <f aca="false">Ex06!$C$14</f>
        <v>0.0923340786366822</v>
      </c>
      <c r="E28" s="55" t="s">
        <v>676</v>
      </c>
    </row>
    <row r="29" customFormat="false" ht="15" hidden="false" customHeight="false" outlineLevel="0" collapsed="false">
      <c r="A29" s="39" t="s">
        <v>1073</v>
      </c>
      <c r="B29" s="39" t="s">
        <v>695</v>
      </c>
      <c r="C29" s="4" t="s">
        <v>1079</v>
      </c>
      <c r="D29" s="57" t="n">
        <f aca="false">Ex06!$C$15</f>
        <v>8.72278580455648</v>
      </c>
      <c r="E29" s="55" t="s">
        <v>796</v>
      </c>
    </row>
    <row r="30" customFormat="false" ht="15" hidden="false" customHeight="false" outlineLevel="0" collapsed="false">
      <c r="A30" s="39" t="s">
        <v>1080</v>
      </c>
      <c r="B30" s="39" t="s">
        <v>674</v>
      </c>
      <c r="C30" s="4" t="s">
        <v>810</v>
      </c>
      <c r="D30" s="54" t="n">
        <f aca="false">Ex07!$C$8</f>
        <v>0.585241730279898</v>
      </c>
      <c r="E30" s="55" t="s">
        <v>676</v>
      </c>
    </row>
    <row r="31" customFormat="false" ht="15" hidden="false" customHeight="false" outlineLevel="0" collapsed="false">
      <c r="A31" s="39" t="s">
        <v>1080</v>
      </c>
      <c r="B31" s="39" t="s">
        <v>679</v>
      </c>
      <c r="C31" s="4" t="s">
        <v>813</v>
      </c>
      <c r="D31" s="54" t="n">
        <f aca="false">Ex07!$C$9</f>
        <v>0.750636132315522</v>
      </c>
      <c r="E31" s="55" t="s">
        <v>676</v>
      </c>
    </row>
    <row r="32" customFormat="false" ht="15" hidden="false" customHeight="false" outlineLevel="0" collapsed="false">
      <c r="A32" s="39" t="s">
        <v>1080</v>
      </c>
      <c r="B32" s="39" t="s">
        <v>683</v>
      </c>
      <c r="C32" s="4" t="s">
        <v>1081</v>
      </c>
      <c r="D32" s="54" t="n">
        <f aca="false">Ex07!$C$12</f>
        <v>0.597954366640441</v>
      </c>
      <c r="E32" s="55" t="s">
        <v>676</v>
      </c>
    </row>
    <row r="33" customFormat="false" ht="23.85" hidden="false" customHeight="false" outlineLevel="0" collapsed="false">
      <c r="A33" s="39" t="s">
        <v>1080</v>
      </c>
      <c r="B33" s="39" t="s">
        <v>687</v>
      </c>
      <c r="C33" s="4" t="s">
        <v>1082</v>
      </c>
      <c r="D33" s="52" t="n">
        <f aca="false">Ex07!$C$14</f>
        <v>5926.63273960984</v>
      </c>
      <c r="E33" s="55" t="s">
        <v>668</v>
      </c>
    </row>
    <row r="34" customFormat="false" ht="15" hidden="false" customHeight="false" outlineLevel="0" collapsed="false">
      <c r="A34" s="39" t="s">
        <v>1083</v>
      </c>
      <c r="B34" s="39" t="s">
        <v>674</v>
      </c>
      <c r="C34" s="4" t="s">
        <v>1084</v>
      </c>
      <c r="D34" s="54" t="n">
        <f aca="false">Ex08!$C$7</f>
        <v>0.0189024390243902</v>
      </c>
      <c r="E34" s="55" t="s">
        <v>676</v>
      </c>
    </row>
    <row r="35" customFormat="false" ht="15" hidden="false" customHeight="false" outlineLevel="0" collapsed="false">
      <c r="A35" s="39" t="s">
        <v>1083</v>
      </c>
      <c r="B35" s="39" t="s">
        <v>679</v>
      </c>
      <c r="C35" s="4" t="s">
        <v>1085</v>
      </c>
      <c r="D35" s="54" t="n">
        <f aca="false">Ex08!$C$8</f>
        <v>0.0219512195121951</v>
      </c>
      <c r="E35" s="55" t="s">
        <v>676</v>
      </c>
    </row>
    <row r="36" customFormat="false" ht="15" hidden="false" customHeight="false" outlineLevel="0" collapsed="false">
      <c r="A36" s="39" t="s">
        <v>1083</v>
      </c>
      <c r="B36" s="39" t="s">
        <v>683</v>
      </c>
      <c r="C36" s="4" t="s">
        <v>1086</v>
      </c>
      <c r="D36" s="54" t="n">
        <f aca="false">Ex08!$C$9</f>
        <v>2.64516129032258</v>
      </c>
      <c r="E36" s="55" t="s">
        <v>676</v>
      </c>
    </row>
    <row r="37" customFormat="false" ht="15" hidden="false" customHeight="false" outlineLevel="0" collapsed="false">
      <c r="A37" s="39" t="s">
        <v>1083</v>
      </c>
      <c r="B37" s="39" t="s">
        <v>687</v>
      </c>
      <c r="C37" s="4" t="s">
        <v>1087</v>
      </c>
      <c r="D37" s="54" t="n">
        <f aca="false">Ex08!$C$10</f>
        <v>0.0297734627831715</v>
      </c>
      <c r="E37" s="55" t="s">
        <v>676</v>
      </c>
    </row>
    <row r="38" customFormat="false" ht="15" hidden="false" customHeight="false" outlineLevel="0" collapsed="false">
      <c r="A38" s="39" t="s">
        <v>1083</v>
      </c>
      <c r="B38" s="39" t="s">
        <v>691</v>
      </c>
      <c r="C38" s="4" t="s">
        <v>1088</v>
      </c>
      <c r="D38" s="52" t="n">
        <f aca="false">Ex08!$C$11</f>
        <v>32000</v>
      </c>
      <c r="E38" s="55" t="s">
        <v>668</v>
      </c>
    </row>
    <row r="39" customFormat="false" ht="15" hidden="false" customHeight="false" outlineLevel="0" collapsed="false">
      <c r="A39" s="39" t="s">
        <v>1083</v>
      </c>
      <c r="B39" s="39" t="s">
        <v>695</v>
      </c>
      <c r="C39" s="4" t="s">
        <v>1089</v>
      </c>
      <c r="D39" s="54" t="n">
        <f aca="false">Ex08!$C$12</f>
        <v>0.0427807486631016</v>
      </c>
      <c r="E39" s="55" t="s">
        <v>676</v>
      </c>
    </row>
    <row r="40" customFormat="false" ht="15" hidden="false" customHeight="false" outlineLevel="0" collapsed="false">
      <c r="A40" s="39" t="s">
        <v>1090</v>
      </c>
      <c r="B40" s="39" t="s">
        <v>674</v>
      </c>
      <c r="C40" s="4" t="s">
        <v>1091</v>
      </c>
      <c r="D40" s="52" t="n">
        <f aca="false">Ex09!$C$7</f>
        <v>1791608</v>
      </c>
      <c r="E40" s="55" t="s">
        <v>668</v>
      </c>
    </row>
    <row r="41" customFormat="false" ht="15" hidden="false" customHeight="false" outlineLevel="0" collapsed="false">
      <c r="A41" s="39" t="s">
        <v>1090</v>
      </c>
      <c r="B41" s="39" t="s">
        <v>679</v>
      </c>
      <c r="C41" s="4" t="s">
        <v>1092</v>
      </c>
      <c r="D41" s="52" t="n">
        <f aca="false">Ex09!$C$9</f>
        <v>366687.5</v>
      </c>
      <c r="E41" s="55" t="s">
        <v>668</v>
      </c>
    </row>
    <row r="42" customFormat="false" ht="15" hidden="false" customHeight="false" outlineLevel="0" collapsed="false">
      <c r="A42" s="39" t="s">
        <v>1090</v>
      </c>
      <c r="B42" s="39" t="s">
        <v>683</v>
      </c>
      <c r="C42" s="4" t="s">
        <v>875</v>
      </c>
      <c r="D42" s="54" t="n">
        <f aca="false">Ex09!$C$12</f>
        <v>0.138130116867407</v>
      </c>
      <c r="E42" s="55" t="s">
        <v>676</v>
      </c>
    </row>
    <row r="43" customFormat="false" ht="15" hidden="false" customHeight="false" outlineLevel="0" collapsed="false">
      <c r="A43" s="39" t="s">
        <v>1090</v>
      </c>
      <c r="B43" s="39" t="s">
        <v>687</v>
      </c>
      <c r="C43" s="4" t="s">
        <v>1093</v>
      </c>
      <c r="D43" s="56" t="n">
        <f aca="false">Ex09!$C$13</f>
        <v>3.31301168674066</v>
      </c>
      <c r="E43" s="55" t="s">
        <v>741</v>
      </c>
    </row>
    <row r="44" customFormat="false" ht="15" hidden="false" customHeight="false" outlineLevel="0" collapsed="false">
      <c r="A44" s="39" t="s">
        <v>1090</v>
      </c>
      <c r="B44" s="39" t="s">
        <v>691</v>
      </c>
      <c r="C44" s="4" t="s">
        <v>1094</v>
      </c>
      <c r="D44" s="54" t="n">
        <f aca="false">Ex09!$C$14</f>
        <v>0.137862823095782</v>
      </c>
      <c r="E44" s="55" t="s">
        <v>676</v>
      </c>
    </row>
    <row r="45" customFormat="false" ht="15" hidden="false" customHeight="false" outlineLevel="0" collapsed="false">
      <c r="A45" s="39" t="s">
        <v>1090</v>
      </c>
      <c r="B45" s="39" t="s">
        <v>695</v>
      </c>
      <c r="C45" s="4" t="s">
        <v>1095</v>
      </c>
      <c r="D45" s="52" t="n">
        <f aca="false">Ex09!$C$15</f>
        <v>17850</v>
      </c>
      <c r="E45" s="55" t="s">
        <v>668</v>
      </c>
    </row>
    <row r="46" customFormat="false" ht="15" hidden="false" customHeight="false" outlineLevel="0" collapsed="false">
      <c r="A46" s="39" t="s">
        <v>1090</v>
      </c>
      <c r="B46" s="39" t="s">
        <v>890</v>
      </c>
      <c r="C46" s="4" t="s">
        <v>1096</v>
      </c>
      <c r="D46" s="54" t="n">
        <f aca="false">Ex09!$C$17</f>
        <v>0.136740662202217</v>
      </c>
      <c r="E46" s="55" t="s">
        <v>676</v>
      </c>
    </row>
    <row r="47" customFormat="false" ht="15" hidden="false" customHeight="false" outlineLevel="0" collapsed="false">
      <c r="A47" s="39" t="s">
        <v>1097</v>
      </c>
      <c r="B47" s="39" t="s">
        <v>674</v>
      </c>
      <c r="C47" s="4" t="s">
        <v>1098</v>
      </c>
      <c r="D47" s="52" t="n">
        <f aca="false">Ex10!$C$7</f>
        <v>863540</v>
      </c>
      <c r="E47" s="55" t="s">
        <v>668</v>
      </c>
    </row>
    <row r="48" customFormat="false" ht="15" hidden="false" customHeight="false" outlineLevel="0" collapsed="false">
      <c r="A48" s="39" t="s">
        <v>1097</v>
      </c>
      <c r="B48" s="39" t="s">
        <v>679</v>
      </c>
      <c r="C48" s="4" t="s">
        <v>1099</v>
      </c>
      <c r="D48" s="52" t="n">
        <f aca="false">Ex10!$C$8</f>
        <v>296100</v>
      </c>
      <c r="E48" s="55" t="s">
        <v>668</v>
      </c>
    </row>
    <row r="49" customFormat="false" ht="15" hidden="false" customHeight="false" outlineLevel="0" collapsed="false">
      <c r="A49" s="39" t="s">
        <v>1097</v>
      </c>
      <c r="B49" s="39" t="s">
        <v>683</v>
      </c>
      <c r="C49" s="4" t="s">
        <v>1100</v>
      </c>
      <c r="D49" s="54" t="n">
        <f aca="false">Ex10!$C$10</f>
        <v>4.24135559921415</v>
      </c>
      <c r="E49" s="55" t="s">
        <v>676</v>
      </c>
    </row>
    <row r="50" customFormat="false" ht="15" hidden="false" customHeight="false" outlineLevel="0" collapsed="false">
      <c r="A50" s="39" t="s">
        <v>1097</v>
      </c>
      <c r="B50" s="39" t="s">
        <v>687</v>
      </c>
      <c r="C50" s="4" t="s">
        <v>1101</v>
      </c>
      <c r="D50" s="57" t="n">
        <f aca="false">Ex10!$C$11</f>
        <v>1.59506044905009</v>
      </c>
      <c r="E50" s="55" t="s">
        <v>796</v>
      </c>
    </row>
    <row r="51" customFormat="false" ht="15" hidden="false" customHeight="false" outlineLevel="0" collapsed="false">
      <c r="A51" s="39" t="s">
        <v>1097</v>
      </c>
      <c r="B51" s="39" t="s">
        <v>691</v>
      </c>
      <c r="C51" s="4" t="s">
        <v>1102</v>
      </c>
      <c r="D51" s="54" t="n">
        <f aca="false">Ex10!$C$12</f>
        <v>0.8</v>
      </c>
      <c r="E51" s="55" t="s">
        <v>676</v>
      </c>
    </row>
    <row r="52" customFormat="false" ht="15" hidden="false" customHeight="false" outlineLevel="0" collapsed="false">
      <c r="A52" s="39" t="s">
        <v>1097</v>
      </c>
      <c r="B52" s="39" t="s">
        <v>695</v>
      </c>
      <c r="C52" s="4" t="s">
        <v>1103</v>
      </c>
      <c r="D52" s="57" t="n">
        <f aca="false">Ex10!$C$13</f>
        <v>1.85523076923077</v>
      </c>
      <c r="E52" s="55" t="s">
        <v>796</v>
      </c>
    </row>
    <row r="53" customFormat="false" ht="15" hidden="false" customHeight="false" outlineLevel="0" collapsed="false">
      <c r="A53" s="39" t="s">
        <v>1104</v>
      </c>
      <c r="B53" s="39" t="s">
        <v>674</v>
      </c>
      <c r="C53" s="4" t="s">
        <v>1105</v>
      </c>
      <c r="D53" s="52" t="n">
        <f aca="false">Ex11!$C$8</f>
        <v>8200</v>
      </c>
      <c r="E53" s="55" t="s">
        <v>668</v>
      </c>
    </row>
    <row r="54" customFormat="false" ht="15" hidden="false" customHeight="false" outlineLevel="0" collapsed="false">
      <c r="A54" s="39" t="s">
        <v>1104</v>
      </c>
      <c r="B54" s="39" t="s">
        <v>679</v>
      </c>
      <c r="C54" s="4" t="s">
        <v>1106</v>
      </c>
      <c r="D54" s="52" t="n">
        <f aca="false">Ex11!$C$10</f>
        <v>-2125.00000000003</v>
      </c>
      <c r="E54" s="55" t="s">
        <v>668</v>
      </c>
    </row>
    <row r="55" customFormat="false" ht="15" hidden="false" customHeight="false" outlineLevel="0" collapsed="false">
      <c r="A55" s="39" t="s">
        <v>1104</v>
      </c>
      <c r="B55" s="39" t="s">
        <v>683</v>
      </c>
      <c r="C55" s="4" t="s">
        <v>1107</v>
      </c>
      <c r="D55" s="54" t="n">
        <f aca="false">Ex11!$C$11</f>
        <v>1.01042816832291</v>
      </c>
      <c r="E55" s="55" t="s">
        <v>676</v>
      </c>
    </row>
    <row r="56" customFormat="false" ht="15" hidden="false" customHeight="false" outlineLevel="0" collapsed="false">
      <c r="A56" s="39" t="s">
        <v>1104</v>
      </c>
      <c r="B56" s="39" t="s">
        <v>687</v>
      </c>
      <c r="C56" s="4" t="s">
        <v>1108</v>
      </c>
      <c r="D56" s="52" t="n">
        <f aca="false">Ex11!$C$12</f>
        <v>8063.74999999997</v>
      </c>
      <c r="E56" s="55" t="s">
        <v>668</v>
      </c>
    </row>
    <row r="57" customFormat="false" ht="15" hidden="false" customHeight="false" outlineLevel="0" collapsed="false">
      <c r="A57" s="39" t="s">
        <v>1104</v>
      </c>
      <c r="B57" s="39" t="s">
        <v>691</v>
      </c>
      <c r="C57" s="4" t="s">
        <v>1109</v>
      </c>
      <c r="D57" s="56" t="n">
        <f aca="false">Ex11!$C$13</f>
        <v>-2.46364302954385</v>
      </c>
      <c r="E57" s="55" t="s">
        <v>741</v>
      </c>
    </row>
    <row r="58" customFormat="false" ht="15" hidden="false" customHeight="false" outlineLevel="0" collapsed="false">
      <c r="A58" s="39" t="s">
        <v>1104</v>
      </c>
      <c r="B58" s="39" t="s">
        <v>695</v>
      </c>
      <c r="C58" s="4" t="s">
        <v>1110</v>
      </c>
      <c r="D58" s="52" t="n">
        <f aca="false">Ex11!$C$14</f>
        <v>41105</v>
      </c>
      <c r="E58" s="55" t="s">
        <v>668</v>
      </c>
    </row>
    <row r="59" customFormat="false" ht="15" hidden="false" customHeight="false" outlineLevel="0" collapsed="false">
      <c r="A59" s="39" t="s">
        <v>1111</v>
      </c>
      <c r="B59" s="39" t="s">
        <v>674</v>
      </c>
      <c r="C59" s="4" t="s">
        <v>1112</v>
      </c>
      <c r="D59" s="52" t="n">
        <f aca="false">Ex12!$C$8</f>
        <v>6.75</v>
      </c>
      <c r="E59" s="55" t="s">
        <v>668</v>
      </c>
    </row>
    <row r="60" customFormat="false" ht="15" hidden="false" customHeight="false" outlineLevel="0" collapsed="false">
      <c r="A60" s="39" t="s">
        <v>1111</v>
      </c>
      <c r="B60" s="39" t="s">
        <v>679</v>
      </c>
      <c r="C60" s="4" t="s">
        <v>1113</v>
      </c>
      <c r="D60" s="52" t="n">
        <f aca="false">Ex12!$C$9</f>
        <v>62.5</v>
      </c>
      <c r="E60" s="55" t="s">
        <v>668</v>
      </c>
    </row>
    <row r="61" customFormat="false" ht="15" hidden="false" customHeight="false" outlineLevel="0" collapsed="false">
      <c r="A61" s="39" t="s">
        <v>1111</v>
      </c>
      <c r="B61" s="39" t="s">
        <v>683</v>
      </c>
      <c r="C61" s="4" t="s">
        <v>1114</v>
      </c>
      <c r="D61" s="52" t="n">
        <f aca="false">Ex12!$C$14</f>
        <v>20.125</v>
      </c>
      <c r="E61" s="55" t="s">
        <v>668</v>
      </c>
    </row>
    <row r="62" customFormat="false" ht="15" hidden="false" customHeight="false" outlineLevel="0" collapsed="false">
      <c r="A62" s="39" t="s">
        <v>1111</v>
      </c>
      <c r="B62" s="39" t="s">
        <v>687</v>
      </c>
      <c r="C62" s="4" t="s">
        <v>1115</v>
      </c>
      <c r="D62" s="54" t="n">
        <f aca="false">Ex12!$C$15</f>
        <v>0.322</v>
      </c>
      <c r="E62" s="55" t="s">
        <v>676</v>
      </c>
    </row>
    <row r="63" customFormat="false" ht="15" hidden="false" customHeight="false" outlineLevel="0" collapsed="false">
      <c r="A63" s="39" t="s">
        <v>1111</v>
      </c>
      <c r="B63" s="39" t="s">
        <v>691</v>
      </c>
      <c r="C63" s="4" t="s">
        <v>1116</v>
      </c>
      <c r="D63" s="54" t="n">
        <f aca="false">Ex12!$C$16</f>
        <v>0.1885</v>
      </c>
      <c r="E63" s="55" t="s">
        <v>676</v>
      </c>
    </row>
    <row r="64" customFormat="false" ht="15" hidden="false" customHeight="false" outlineLevel="0" collapsed="false">
      <c r="A64" s="39" t="s">
        <v>1117</v>
      </c>
      <c r="B64" s="39" t="s">
        <v>674</v>
      </c>
      <c r="C64" s="4" t="s">
        <v>1118</v>
      </c>
      <c r="D64" s="54" t="n">
        <f aca="false">Ex13!$C$7</f>
        <v>0.177105831533477</v>
      </c>
      <c r="E64" s="55" t="s">
        <v>676</v>
      </c>
    </row>
    <row r="65" customFormat="false" ht="15" hidden="false" customHeight="false" outlineLevel="0" collapsed="false">
      <c r="A65" s="39" t="s">
        <v>1117</v>
      </c>
      <c r="B65" s="39" t="s">
        <v>679</v>
      </c>
      <c r="C65" s="4" t="s">
        <v>1119</v>
      </c>
      <c r="D65" s="54" t="n">
        <f aca="false">Ex13!$C$8</f>
        <v>0.65658747300216</v>
      </c>
      <c r="E65" s="55" t="s">
        <v>676</v>
      </c>
    </row>
    <row r="66" customFormat="false" ht="15" hidden="false" customHeight="false" outlineLevel="0" collapsed="false">
      <c r="A66" s="39" t="s">
        <v>1117</v>
      </c>
      <c r="B66" s="39" t="s">
        <v>683</v>
      </c>
      <c r="C66" s="4" t="s">
        <v>1120</v>
      </c>
      <c r="D66" s="54" t="n">
        <f aca="false">Ex13!$C$9</f>
        <v>0.0831460674157303</v>
      </c>
      <c r="E66" s="55" t="s">
        <v>676</v>
      </c>
    </row>
    <row r="67" customFormat="false" ht="15" hidden="false" customHeight="false" outlineLevel="0" collapsed="false">
      <c r="A67" s="39" t="s">
        <v>1117</v>
      </c>
      <c r="B67" s="39" t="s">
        <v>687</v>
      </c>
      <c r="C67" s="4" t="s">
        <v>1121</v>
      </c>
      <c r="D67" s="54" t="n">
        <f aca="false">Ex13!$C$11</f>
        <v>0.922040922040922</v>
      </c>
      <c r="E67" s="55" t="s">
        <v>676</v>
      </c>
    </row>
    <row r="68" customFormat="false" ht="15" hidden="false" customHeight="false" outlineLevel="0" collapsed="false">
      <c r="A68" s="39" t="s">
        <v>1117</v>
      </c>
      <c r="B68" s="39" t="s">
        <v>691</v>
      </c>
      <c r="C68" s="4" t="s">
        <v>1122</v>
      </c>
      <c r="D68" s="52" t="n">
        <f aca="false">Ex13!$C$12</f>
        <v>7221.5</v>
      </c>
      <c r="E68" s="55" t="s">
        <v>668</v>
      </c>
    </row>
    <row r="69" customFormat="false" ht="15" hidden="false" customHeight="false" outlineLevel="0" collapsed="false">
      <c r="A69" s="39" t="s">
        <v>1123</v>
      </c>
      <c r="B69" s="39" t="s">
        <v>674</v>
      </c>
      <c r="C69" s="4" t="s">
        <v>1124</v>
      </c>
      <c r="D69" s="52" t="n">
        <f aca="false">Ex14!$C$7</f>
        <v>159870</v>
      </c>
      <c r="E69" s="55" t="s">
        <v>668</v>
      </c>
    </row>
    <row r="70" customFormat="false" ht="15" hidden="false" customHeight="false" outlineLevel="0" collapsed="false">
      <c r="A70" s="39" t="s">
        <v>1123</v>
      </c>
      <c r="B70" s="39" t="s">
        <v>679</v>
      </c>
      <c r="C70" s="4" t="s">
        <v>1125</v>
      </c>
      <c r="D70" s="52" t="n">
        <f aca="false">Ex14!$C$8</f>
        <v>349080</v>
      </c>
      <c r="E70" s="55" t="s">
        <v>668</v>
      </c>
    </row>
    <row r="71" customFormat="false" ht="15" hidden="false" customHeight="false" outlineLevel="0" collapsed="false">
      <c r="A71" s="39" t="s">
        <v>1123</v>
      </c>
      <c r="B71" s="39" t="s">
        <v>683</v>
      </c>
      <c r="C71" s="4" t="s">
        <v>1126</v>
      </c>
      <c r="D71" s="54" t="n">
        <f aca="false">Ex14!$C$10</f>
        <v>0.607940719024998</v>
      </c>
      <c r="E71" s="55" t="s">
        <v>676</v>
      </c>
    </row>
    <row r="72" customFormat="false" ht="15" hidden="false" customHeight="false" outlineLevel="0" collapsed="false">
      <c r="A72" s="39" t="s">
        <v>1123</v>
      </c>
      <c r="B72" s="39" t="s">
        <v>687</v>
      </c>
      <c r="C72" s="4" t="s">
        <v>1127</v>
      </c>
      <c r="D72" s="58" t="n">
        <f aca="false">Ex14!$C$11</f>
        <v>1508.20754716981</v>
      </c>
      <c r="E72" s="55" t="s">
        <v>1014</v>
      </c>
    </row>
    <row r="73" customFormat="false" ht="15" hidden="false" customHeight="false" outlineLevel="0" collapsed="false">
      <c r="A73" s="39" t="s">
        <v>1123</v>
      </c>
      <c r="B73" s="39" t="s">
        <v>691</v>
      </c>
      <c r="C73" s="4" t="s">
        <v>1128</v>
      </c>
      <c r="D73" s="54" t="n">
        <f aca="false">Ex14!$C$12</f>
        <v>0.457975249226538</v>
      </c>
      <c r="E73" s="55" t="s">
        <v>676</v>
      </c>
    </row>
    <row r="74" customFormat="false" ht="15" hidden="false" customHeight="false" outlineLevel="0" collapsed="false">
      <c r="A74" s="39" t="s">
        <v>1123</v>
      </c>
      <c r="B74" s="39" t="s">
        <v>695</v>
      </c>
      <c r="C74" s="4" t="s">
        <v>1129</v>
      </c>
      <c r="D74" s="56" t="n">
        <f aca="false">Ex14!$C$13</f>
        <v>-0.220677862885332</v>
      </c>
      <c r="E74" s="55" t="s">
        <v>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2026-10-29T14:04:12Z</dcterms:created>
  <dc:creator>openpyxl</dc:creator>
  <dc:description/>
  <dc:language>en-US</dc:language>
  <cp:lastModifiedBy/>
  <dcterms:modified xsi:type="dcterms:W3CDTF">2026-10-29T14:04:12Z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